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ettings" sheetId="2" state="visible" r:id="rId4"/>
    <sheet name="Plan Reference" sheetId="3" state="visible" r:id="rId5"/>
    <sheet name="Daily Log" sheetId="4" state="visible" r:id="rId6"/>
    <sheet name="Strength Log" sheetId="5" state="visible" r:id="rId7"/>
    <sheet name="Weight &amp; Waist" sheetId="6" state="visible" r:id="rId8"/>
    <sheet name="Trends" sheetId="7" state="visible" r:id="rId9"/>
    <sheet name="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<sst xmlns="http://schemas.openxmlformats.org/spreadsheetml/2006/main" count="645" uniqueCount="97">
  <si>
    <t xml:space="preserve">How to Use This Tracker</t>
  </si>
  <si>
    <t xml:space="preserve">1. Settings — set your program Start Date (must be a Monday), baseline weight/waist, and goals. Everything else recalculates from this.</t>
  </si>
  <si>
    <t xml:space="preserve">2. Strength Log — after each Mon/Wed/Fri session, fill in Sets Completed, Reps Completed, and Weight Used (lb) for each exercise.</t>
  </si>
  <si>
    <t xml:space="preserve">3. Daily Log — after each jog, fill in Jog Distance (mi) and Jog Duration (min). Pace and strength completion are calculated automatically.</t>
  </si>
  <si>
    <t xml:space="preserve">4. Weight &amp; Waist — every weekend (Sunday), fill in that week's Weight (lb) and Waist (in). Week 0 is your baseline and is pre-filled.</t>
  </si>
  <si>
    <t xml:space="preserve">5. Trends &amp; Dashboard — these update automatically. Just open the Dashboard tab to see your progress charts.</t>
  </si>
  <si>
    <t xml:space="preserve">Blue text = cells you type into. Green text = formulas linking to another sheet. Black text = calculated formulas.</t>
  </si>
  <si>
    <t xml:space="preserve">If a chart looks empty, it's because there's no logged data yet for that week — it will populate as you fill in the log sheets.</t>
  </si>
  <si>
    <t xml:space="preserve">Program Settings</t>
  </si>
  <si>
    <t xml:space="preserve">Edit these values — everything else in the workbook updates automatically.</t>
  </si>
  <si>
    <t xml:space="preserve">Start Date (must be a Monday)</t>
  </si>
  <si>
    <t xml:space="preserve">Baseline Weight (lb)</t>
  </si>
  <si>
    <t xml:space="preserve">Baseline Waist (in)</t>
  </si>
  <si>
    <t xml:space="preserve">Goal Weight (lb)</t>
  </si>
  <si>
    <t xml:space="preserve">Goal Waist (in)</t>
  </si>
  <si>
    <t xml:space="preserve">Baseline Monthly Mileage (mi)</t>
  </si>
  <si>
    <t xml:space="preserve">Target Strength Sessions / Week</t>
  </si>
  <si>
    <t xml:space="preserve">Program Length (weeks)</t>
  </si>
  <si>
    <t xml:space="preserve">Exercise Plan Reference</t>
  </si>
  <si>
    <t xml:space="preserve">Source: INPUTS/amits_weekly_workout.md — used by Strength Log to look up target sets/reps.</t>
  </si>
  <si>
    <t xml:space="preserve">Workout Day</t>
  </si>
  <si>
    <t xml:space="preserve">Exercise</t>
  </si>
  <si>
    <t xml:space="preserve">Target Sets</t>
  </si>
  <si>
    <t xml:space="preserve">Target Reps</t>
  </si>
  <si>
    <t xml:space="preserve">Circuit A - Lower Body &amp; Core (Monday)</t>
  </si>
  <si>
    <t xml:space="preserve">Goblet Squat</t>
  </si>
  <si>
    <t xml:space="preserve">12</t>
  </si>
  <si>
    <t xml:space="preserve">Dumbbell Romanian Deadlift</t>
  </si>
  <si>
    <t xml:space="preserve">Dumbbell Walking Lunge</t>
  </si>
  <si>
    <t xml:space="preserve">10/leg</t>
  </si>
  <si>
    <t xml:space="preserve">Glute Bridge</t>
  </si>
  <si>
    <t xml:space="preserve">15</t>
  </si>
  <si>
    <t xml:space="preserve">Plank</t>
  </si>
  <si>
    <t xml:space="preserve">30-45 sec</t>
  </si>
  <si>
    <t xml:space="preserve">Standing Calf Raise</t>
  </si>
  <si>
    <t xml:space="preserve">Circuit B - Upper Body &amp; Core (Wednesday)</t>
  </si>
  <si>
    <t xml:space="preserve">Dumbbell Floor Press</t>
  </si>
  <si>
    <t xml:space="preserve">Dumbbell Bent-Over Row</t>
  </si>
  <si>
    <t xml:space="preserve">Dumbbell Shoulder Press</t>
  </si>
  <si>
    <t xml:space="preserve">Band Pull-Apart</t>
  </si>
  <si>
    <t xml:space="preserve">Dumbbell Bicep Curl</t>
  </si>
  <si>
    <t xml:space="preserve">Dead Bug</t>
  </si>
  <si>
    <t xml:space="preserve">12/side</t>
  </si>
  <si>
    <t xml:space="preserve">Circuit C - Full Body &amp; Core (Friday)</t>
  </si>
  <si>
    <t xml:space="preserve">Dumbbell Thruster</t>
  </si>
  <si>
    <t xml:space="preserve">Renegade Row</t>
  </si>
  <si>
    <t xml:space="preserve">10/side</t>
  </si>
  <si>
    <t xml:space="preserve">Reverse Lunge to Curl</t>
  </si>
  <si>
    <t xml:space="preserve">Bird Dog</t>
  </si>
  <si>
    <t xml:space="preserve">Side Plank</t>
  </si>
  <si>
    <t xml:space="preserve">20-30 sec/side</t>
  </si>
  <si>
    <t xml:space="preserve">Mountain Climbers</t>
  </si>
  <si>
    <t xml:space="preserve">30 sec</t>
  </si>
  <si>
    <t xml:space="preserve">Daily Log</t>
  </si>
  <si>
    <t xml:space="preserve">One row per calendar day. Fill in Jog Distance/Duration on jog days; strength completion pulls automatically from Strength Log.</t>
  </si>
  <si>
    <t xml:space="preserve">Week #</t>
  </si>
  <si>
    <t xml:space="preserve">Date</t>
  </si>
  <si>
    <t xml:space="preserve">Day</t>
  </si>
  <si>
    <t xml:space="preserve">Planned Activity</t>
  </si>
  <si>
    <t xml:space="preserve">Jog Distance (mi)</t>
  </si>
  <si>
    <t xml:space="preserve">Jog Duration (min)</t>
  </si>
  <si>
    <t xml:space="preserve">Jog Pace (min/mi)</t>
  </si>
  <si>
    <t xml:space="preserve">Strength Exercises Logged</t>
  </si>
  <si>
    <t xml:space="preserve">Notes</t>
  </si>
  <si>
    <t xml:space="preserve">Jog 3-4 mi + Circuit A</t>
  </si>
  <si>
    <t xml:space="preserve">Mobility &amp; Stretch</t>
  </si>
  <si>
    <t xml:space="preserve">Jog 3-4 mi + Circuit B</t>
  </si>
  <si>
    <t xml:space="preserve">Optional walk / Rest</t>
  </si>
  <si>
    <t xml:space="preserve">Jog 3-4 mi + Circuit C</t>
  </si>
  <si>
    <t xml:space="preserve">Long Jog ~4 mi</t>
  </si>
  <si>
    <t xml:space="preserve">Rest Day</t>
  </si>
  <si>
    <t xml:space="preserve">Strength Log</t>
  </si>
  <si>
    <t xml:space="preserve">Fill in Sets/Reps Completed and Weight Used after each strength session. This is the source data for exercise trend charts.</t>
  </si>
  <si>
    <t xml:space="preserve">Sets Completed</t>
  </si>
  <si>
    <t xml:space="preserve">Reps Completed</t>
  </si>
  <si>
    <t xml:space="preserve">Weight Used (lb)</t>
  </si>
  <si>
    <t xml:space="preserve">Weight &amp; Waist Log</t>
  </si>
  <si>
    <t xml:space="preserve">Measure every weekend (Sunday). Week 0 is your baseline and is linked to Settings.</t>
  </si>
  <si>
    <t xml:space="preserve">Weight (lb)</t>
  </si>
  <si>
    <t xml:space="preserve">Waist (in)</t>
  </si>
  <si>
    <t xml:space="preserve">Δ Weight from Start</t>
  </si>
  <si>
    <t xml:space="preserve">Δ Waist from Start</t>
  </si>
  <si>
    <t xml:space="preserve">Δ Weight from Prior Week</t>
  </si>
  <si>
    <t xml:space="preserve">% Progress to Goal Weight</t>
  </si>
  <si>
    <t xml:space="preserve">% Progress to Goal Waist</t>
  </si>
  <si>
    <t xml:space="preserve">Baseline</t>
  </si>
  <si>
    <t xml:space="preserve">Weekly Trend Aggregates</t>
  </si>
  <si>
    <t xml:space="preserve">Calculated automatically from Daily Log and Strength Log. Feeds the Dashboard charts.</t>
  </si>
  <si>
    <t xml:space="preserve">Weekly Jog Mileage (mi)</t>
  </si>
  <si>
    <t xml:space="preserve">Target Weekly Mileage (mi)</t>
  </si>
  <si>
    <t xml:space="preserve">Strength Sessions Completed</t>
  </si>
  <si>
    <t xml:space="preserve">Target Sessions/Week</t>
  </si>
  <si>
    <t xml:space="preserve">Goblet Squat - Max Weight (lb)</t>
  </si>
  <si>
    <t xml:space="preserve">Dumbbell Floor Press - Max Weight (lb)</t>
  </si>
  <si>
    <t xml:space="preserve">Dumbbell Thruster - Max Weight (lb)</t>
  </si>
  <si>
    <t xml:space="preserve">Amit's Progress Dashboard</t>
  </si>
  <si>
    <t xml:space="preserve">All charts update automatically as you log data in Strength Log, Daily Log, and Weight &amp; Waist.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</si>
</sst>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yyyy\-mm\-dd&quot; (&quot;ddd\)"/>
    <numFmt numFmtId="167" formatCode="0.0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5F5F5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F5F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C0504D"/>
      <rgbColor rgb="FF555555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Weight Trend vs Goal (lb)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'Weight &amp; Waist'!C4</c:f>
              <c:strCache>
                <c:ptCount val="1"/>
                <c:pt idx="0">
                  <c:v>Weight (lb)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'Weight &amp; Waist'!$A$5:$A$17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'Weight &amp; Waist'!$C$5:$C$17</c:f>
              <c:numCache>
                <c:formatCode>General</c:formatCode>
                <c:ptCount val="13"/>
                <c:pt idx="0">
                  <c:v>185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'Weight &amp; Waist'!E4</c:f>
              <c:strCache>
                <c:ptCount val="1"/>
                <c:pt idx="0">
                  <c:v>Goal Weight (lb)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'Weight &amp; Waist'!$A$5:$A$17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'Weight &amp; Waist'!$E$5:$E$17</c:f>
              <c:numCache>
                <c:formatCode>General</c:formatCode>
                <c:ptCount val="13"/>
                <c:pt idx="0">
                  <c:v>165</c:v>
                </c:pt>
                <c:pt idx="1">
                  <c:v>165</c:v>
                </c:pt>
                <c:pt idx="2">
                  <c:v>165</c:v>
                </c:pt>
                <c:pt idx="3">
                  <c:v>165</c:v>
                </c:pt>
                <c:pt idx="4">
                  <c:v>165</c:v>
                </c:pt>
                <c:pt idx="5">
                  <c:v>165</c:v>
                </c:pt>
                <c:pt idx="6">
                  <c:v>165</c:v>
                </c:pt>
                <c:pt idx="7">
                  <c:v>165</c:v>
                </c:pt>
                <c:pt idx="8">
                  <c:v>165</c:v>
                </c:pt>
                <c:pt idx="9">
                  <c:v>165</c:v>
                </c:pt>
                <c:pt idx="10">
                  <c:v>165</c:v>
                </c:pt>
                <c:pt idx="11">
                  <c:v>165</c:v>
                </c:pt>
                <c:pt idx="12">
                  <c:v>165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009003"/>
        <c:axId val="12723769"/>
      </c:lineChart>
      <c:catAx>
        <c:axId val="760090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723769"/>
        <c:crosses val="autoZero"/>
        <c:auto val="1"/>
        <c:lblAlgn val="ctr"/>
        <c:lblOffset val="100"/>
        <c:noMultiLvlLbl val="0"/>
      </c:catAx>
      <c:valAx>
        <c:axId val="127237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Weight (lb)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0090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Waist Trend vs Goal (in)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'Weight &amp; Waist'!D4</c:f>
              <c:strCache>
                <c:ptCount val="1"/>
                <c:pt idx="0">
                  <c:v>Waist (in)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'Weight &amp; Waist'!$A$5:$A$17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'Weight &amp; Waist'!$D$5:$D$17</c:f>
              <c:numCache>
                <c:formatCode>General</c:formatCode>
                <c:ptCount val="13"/>
                <c:pt idx="0">
                  <c:v>35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'Weight &amp; Waist'!F4</c:f>
              <c:strCache>
                <c:ptCount val="1"/>
                <c:pt idx="0">
                  <c:v>Goal Waist (in)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'Weight &amp; Waist'!$A$5:$A$17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'Weight &amp; Waist'!$F$5:$F$17</c:f>
              <c:numCache>
                <c:formatCode>General</c:formatCode>
                <c:ptCount val="13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791248"/>
        <c:axId val="98600244"/>
      </c:lineChart>
      <c:catAx>
        <c:axId val="867912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600244"/>
        <c:crosses val="autoZero"/>
        <c:auto val="1"/>
        <c:lblAlgn val="ctr"/>
        <c:lblOffset val="100"/>
        <c:noMultiLvlLbl val="0"/>
      </c:catAx>
      <c:valAx>
        <c:axId val="986002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Waist (in)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7912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Weekly Jog Mileage vs Target (mi)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Trends!B4</c:f>
              <c:strCache>
                <c:ptCount val="1"/>
                <c:pt idx="0">
                  <c:v>Weekly Jog Mileage (mi)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Trends!$B$5:$B$16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Trends!C4</c:f>
              <c:strCache>
                <c:ptCount val="1"/>
                <c:pt idx="0">
                  <c:v>Target Weekly Mileage (mi)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Trends!$C$5:$C$16</c:f>
              <c:numCache>
                <c:formatCode>0.0</c:formatCode>
                <c:ptCount val="12"/>
                <c:pt idx="0">
                  <c:v>13.8568129330254</c:v>
                </c:pt>
                <c:pt idx="1">
                  <c:v>13.8568129330254</c:v>
                </c:pt>
                <c:pt idx="2">
                  <c:v>13.8568129330254</c:v>
                </c:pt>
                <c:pt idx="3">
                  <c:v>13.8568129330254</c:v>
                </c:pt>
                <c:pt idx="4">
                  <c:v>13.8568129330254</c:v>
                </c:pt>
                <c:pt idx="5">
                  <c:v>13.8568129330254</c:v>
                </c:pt>
                <c:pt idx="6">
                  <c:v>13.8568129330254</c:v>
                </c:pt>
                <c:pt idx="7">
                  <c:v>13.8568129330254</c:v>
                </c:pt>
                <c:pt idx="8">
                  <c:v>13.8568129330254</c:v>
                </c:pt>
                <c:pt idx="9">
                  <c:v>13.8568129330254</c:v>
                </c:pt>
                <c:pt idx="10">
                  <c:v>13.8568129330254</c:v>
                </c:pt>
                <c:pt idx="11">
                  <c:v>13.8568129330254</c:v>
                </c:pt>
              </c:numCache>
            </c:numRef>
          </c:val>
        </c:ser>
        <c:gapWidth val="150"/>
        <c:overlap val="0"/>
        <c:axId val="90118994"/>
        <c:axId val="93085685"/>
      </c:barChart>
      <c:catAx>
        <c:axId val="901189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085685"/>
        <c:crosses val="autoZero"/>
        <c:auto val="1"/>
        <c:lblAlgn val="ctr"/>
        <c:lblOffset val="100"/>
        <c:noMultiLvlLbl val="0"/>
      </c:catAx>
      <c:valAx>
        <c:axId val="930856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Miles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11899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Strength Sessions Completed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Trends!D4</c:f>
              <c:strCache>
                <c:ptCount val="1"/>
                <c:pt idx="0">
                  <c:v>Strength Sessions Completed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Trends!$D$5:$D$16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Trends!E4</c:f>
              <c:strCache>
                <c:ptCount val="1"/>
                <c:pt idx="0">
                  <c:v>Target Sessions/Week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Trends!$E$5:$E$16</c:f>
              <c:numCache>
                <c:formatCode>General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</c:ser>
        <c:gapWidth val="150"/>
        <c:overlap val="0"/>
        <c:axId val="6606254"/>
        <c:axId val="14028233"/>
      </c:barChart>
      <c:catAx>
        <c:axId val="66062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028233"/>
        <c:crosses val="autoZero"/>
        <c:auto val="1"/>
        <c:lblAlgn val="ctr"/>
        <c:lblOffset val="100"/>
        <c:noMultiLvlLbl val="0"/>
      </c:catAx>
      <c:valAx>
        <c:axId val="140282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Sessions /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0625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Key Lift Progression - Max Weight Used (lb)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Trends!F4</c:f>
              <c:strCache>
                <c:ptCount val="1"/>
                <c:pt idx="0">
                  <c:v>Goblet Squat - Max Weight (lb)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Trends!$F$5:$F$16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Trends!G4</c:f>
              <c:strCache>
                <c:ptCount val="1"/>
                <c:pt idx="0">
                  <c:v>Dumbbell Floor Press - Max Weight (lb)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Trends!$G$5:$G$16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Trends!H4</c:f>
              <c:strCache>
                <c:ptCount val="1"/>
                <c:pt idx="0">
                  <c:v>Dumbbell Thruster - Max Weight (lb)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Trends!$H$5:$H$16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294162"/>
        <c:axId val="92720492"/>
      </c:lineChart>
      <c:catAx>
        <c:axId val="332941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720492"/>
        <c:crosses val="autoZero"/>
        <c:auto val="1"/>
        <c:lblAlgn val="ctr"/>
        <c:lblOffset val="100"/>
        <c:noMultiLvlLbl val="0"/>
      </c:catAx>
      <c:valAx>
        <c:axId val="927204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Weight (lb)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2941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9</xdr:col>
      <xdr:colOff>21600</xdr:colOff>
      <xdr:row>20</xdr:row>
      <xdr:rowOff>1080</xdr:rowOff>
    </xdr:to>
    <xdr:graphicFrame>
      <xdr:nvGraphicFramePr>
        <xdr:cNvPr id="1" name="Chart 1"/>
        <xdr:cNvGraphicFramePr/>
      </xdr:nvGraphicFramePr>
      <xdr:xfrm>
        <a:off x="0" y="601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</xdr:row>
      <xdr:rowOff>0</xdr:rowOff>
    </xdr:from>
    <xdr:to>
      <xdr:col>18</xdr:col>
      <xdr:colOff>256320</xdr:colOff>
      <xdr:row>20</xdr:row>
      <xdr:rowOff>1080</xdr:rowOff>
    </xdr:to>
    <xdr:graphicFrame>
      <xdr:nvGraphicFramePr>
        <xdr:cNvPr id="2" name="Chart 2"/>
        <xdr:cNvGraphicFramePr/>
      </xdr:nvGraphicFramePr>
      <xdr:xfrm>
        <a:off x="5738040" y="601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9</xdr:col>
      <xdr:colOff>21600</xdr:colOff>
      <xdr:row>38</xdr:row>
      <xdr:rowOff>1080</xdr:rowOff>
    </xdr:to>
    <xdr:graphicFrame>
      <xdr:nvGraphicFramePr>
        <xdr:cNvPr id="3" name="Chart 3"/>
        <xdr:cNvGraphicFramePr/>
      </xdr:nvGraphicFramePr>
      <xdr:xfrm>
        <a:off x="0" y="4030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18</xdr:col>
      <xdr:colOff>256320</xdr:colOff>
      <xdr:row>38</xdr:row>
      <xdr:rowOff>1080</xdr:rowOff>
    </xdr:to>
    <xdr:graphicFrame>
      <xdr:nvGraphicFramePr>
        <xdr:cNvPr id="4" name="Chart 4"/>
        <xdr:cNvGraphicFramePr/>
      </xdr:nvGraphicFramePr>
      <xdr:xfrm>
        <a:off x="5738040" y="4030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9</xdr:col>
      <xdr:colOff>21600</xdr:colOff>
      <xdr:row>56</xdr:row>
      <xdr:rowOff>1080</xdr:rowOff>
    </xdr:to>
    <xdr:graphicFrame>
      <xdr:nvGraphicFramePr>
        <xdr:cNvPr id="5" name="Chart 5"/>
        <xdr:cNvGraphicFramePr/>
      </xdr:nvGraphicFramePr>
      <xdr:xfrm>
        <a:off x="0" y="7459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4" t="s">
        <v>9</v>
      </c>
    </row>
    <row r="4" customFormat="false" ht="15" hidden="false" customHeight="false" outlineLevel="0" collapsed="false">
      <c r="A4" s="5" t="s">
        <v>10</v>
      </c>
      <c r="B4" s="6" t="n">
        <v>46209</v>
      </c>
    </row>
    <row r="5" customFormat="false" ht="15" hidden="false" customHeight="false" outlineLevel="0" collapsed="false">
      <c r="A5" s="5" t="s">
        <v>11</v>
      </c>
      <c r="B5" s="7" t="n">
        <v>185</v>
      </c>
    </row>
    <row r="6" customFormat="false" ht="15" hidden="false" customHeight="false" outlineLevel="0" collapsed="false">
      <c r="A6" s="5" t="s">
        <v>12</v>
      </c>
      <c r="B6" s="7" t="n">
        <v>35</v>
      </c>
    </row>
    <row r="7" customFormat="false" ht="15" hidden="false" customHeight="false" outlineLevel="0" collapsed="false">
      <c r="A7" s="5" t="s">
        <v>13</v>
      </c>
      <c r="B7" s="7" t="n">
        <v>165</v>
      </c>
    </row>
    <row r="8" customFormat="false" ht="15" hidden="false" customHeight="false" outlineLevel="0" collapsed="false">
      <c r="A8" s="5" t="s">
        <v>14</v>
      </c>
      <c r="B8" s="7" t="n">
        <v>32</v>
      </c>
    </row>
    <row r="9" customFormat="false" ht="15" hidden="false" customHeight="false" outlineLevel="0" collapsed="false">
      <c r="A9" s="5" t="s">
        <v>15</v>
      </c>
      <c r="B9" s="7" t="n">
        <v>60</v>
      </c>
    </row>
    <row r="10" customFormat="false" ht="15" hidden="false" customHeight="false" outlineLevel="0" collapsed="false">
      <c r="A10" s="5" t="s">
        <v>16</v>
      </c>
      <c r="B10" s="7" t="n">
        <v>3</v>
      </c>
    </row>
    <row r="11" customFormat="false" ht="15" hidden="false" customHeight="false" outlineLevel="0" collapsed="false">
      <c r="A11" s="5" t="s">
        <v>17</v>
      </c>
      <c r="B11" s="7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4" t="s">
        <v>19</v>
      </c>
    </row>
    <row r="4" customFormat="false" ht="15" hidden="false" customHeight="false" outlineLevel="0" collapsed="false">
      <c r="A4" s="8" t="s">
        <v>20</v>
      </c>
      <c r="B4" s="8" t="s">
        <v>21</v>
      </c>
      <c r="C4" s="8" t="s">
        <v>22</v>
      </c>
      <c r="D4" s="8" t="s">
        <v>23</v>
      </c>
    </row>
    <row r="5" customFormat="false" ht="15" hidden="false" customHeight="false" outlineLevel="0" collapsed="false">
      <c r="A5" s="5" t="s">
        <v>24</v>
      </c>
      <c r="B5" s="5" t="s">
        <v>25</v>
      </c>
      <c r="C5" s="7" t="n">
        <v>3</v>
      </c>
      <c r="D5" s="7" t="s">
        <v>26</v>
      </c>
    </row>
    <row r="6" customFormat="false" ht="15" hidden="false" customHeight="false" outlineLevel="0" collapsed="false">
      <c r="A6" s="9" t="s">
        <v>24</v>
      </c>
      <c r="B6" s="9" t="s">
        <v>27</v>
      </c>
      <c r="C6" s="10" t="n">
        <v>3</v>
      </c>
      <c r="D6" s="10" t="s">
        <v>26</v>
      </c>
    </row>
    <row r="7" customFormat="false" ht="15" hidden="false" customHeight="false" outlineLevel="0" collapsed="false">
      <c r="A7" s="5" t="s">
        <v>24</v>
      </c>
      <c r="B7" s="5" t="s">
        <v>28</v>
      </c>
      <c r="C7" s="7" t="n">
        <v>3</v>
      </c>
      <c r="D7" s="7" t="s">
        <v>29</v>
      </c>
    </row>
    <row r="8" customFormat="false" ht="15" hidden="false" customHeight="false" outlineLevel="0" collapsed="false">
      <c r="A8" s="9" t="s">
        <v>24</v>
      </c>
      <c r="B8" s="9" t="s">
        <v>30</v>
      </c>
      <c r="C8" s="10" t="n">
        <v>3</v>
      </c>
      <c r="D8" s="10" t="s">
        <v>31</v>
      </c>
    </row>
    <row r="9" customFormat="false" ht="15" hidden="false" customHeight="false" outlineLevel="0" collapsed="false">
      <c r="A9" s="5" t="s">
        <v>24</v>
      </c>
      <c r="B9" s="5" t="s">
        <v>32</v>
      </c>
      <c r="C9" s="7" t="n">
        <v>3</v>
      </c>
      <c r="D9" s="7" t="s">
        <v>33</v>
      </c>
    </row>
    <row r="10" customFormat="false" ht="15" hidden="false" customHeight="false" outlineLevel="0" collapsed="false">
      <c r="A10" s="9" t="s">
        <v>24</v>
      </c>
      <c r="B10" s="9" t="s">
        <v>34</v>
      </c>
      <c r="C10" s="10" t="n">
        <v>3</v>
      </c>
      <c r="D10" s="10" t="s">
        <v>31</v>
      </c>
    </row>
    <row r="11" customFormat="false" ht="15" hidden="false" customHeight="false" outlineLevel="0" collapsed="false">
      <c r="A11" s="5" t="s">
        <v>35</v>
      </c>
      <c r="B11" s="5" t="s">
        <v>36</v>
      </c>
      <c r="C11" s="7" t="n">
        <v>3</v>
      </c>
      <c r="D11" s="7" t="s">
        <v>26</v>
      </c>
    </row>
    <row r="12" customFormat="false" ht="15" hidden="false" customHeight="false" outlineLevel="0" collapsed="false">
      <c r="A12" s="9" t="s">
        <v>35</v>
      </c>
      <c r="B12" s="9" t="s">
        <v>37</v>
      </c>
      <c r="C12" s="10" t="n">
        <v>3</v>
      </c>
      <c r="D12" s="10" t="s">
        <v>26</v>
      </c>
    </row>
    <row r="13" customFormat="false" ht="15" hidden="false" customHeight="false" outlineLevel="0" collapsed="false">
      <c r="A13" s="5" t="s">
        <v>35</v>
      </c>
      <c r="B13" s="5" t="s">
        <v>38</v>
      </c>
      <c r="C13" s="7" t="n">
        <v>3</v>
      </c>
      <c r="D13" s="7" t="s">
        <v>26</v>
      </c>
    </row>
    <row r="14" customFormat="false" ht="15" hidden="false" customHeight="false" outlineLevel="0" collapsed="false">
      <c r="A14" s="9" t="s">
        <v>35</v>
      </c>
      <c r="B14" s="9" t="s">
        <v>39</v>
      </c>
      <c r="C14" s="10" t="n">
        <v>3</v>
      </c>
      <c r="D14" s="10" t="s">
        <v>31</v>
      </c>
    </row>
    <row r="15" customFormat="false" ht="15" hidden="false" customHeight="false" outlineLevel="0" collapsed="false">
      <c r="A15" s="5" t="s">
        <v>35</v>
      </c>
      <c r="B15" s="5" t="s">
        <v>40</v>
      </c>
      <c r="C15" s="7" t="n">
        <v>3</v>
      </c>
      <c r="D15" s="7" t="s">
        <v>26</v>
      </c>
    </row>
    <row r="16" customFormat="false" ht="15" hidden="false" customHeight="false" outlineLevel="0" collapsed="false">
      <c r="A16" s="9" t="s">
        <v>35</v>
      </c>
      <c r="B16" s="9" t="s">
        <v>41</v>
      </c>
      <c r="C16" s="10" t="n">
        <v>3</v>
      </c>
      <c r="D16" s="10" t="s">
        <v>42</v>
      </c>
    </row>
    <row r="17" customFormat="false" ht="15" hidden="false" customHeight="false" outlineLevel="0" collapsed="false">
      <c r="A17" s="5" t="s">
        <v>43</v>
      </c>
      <c r="B17" s="5" t="s">
        <v>44</v>
      </c>
      <c r="C17" s="7" t="n">
        <v>3</v>
      </c>
      <c r="D17" s="7" t="s">
        <v>26</v>
      </c>
    </row>
    <row r="18" customFormat="false" ht="15" hidden="false" customHeight="false" outlineLevel="0" collapsed="false">
      <c r="A18" s="9" t="s">
        <v>43</v>
      </c>
      <c r="B18" s="9" t="s">
        <v>45</v>
      </c>
      <c r="C18" s="10" t="n">
        <v>3</v>
      </c>
      <c r="D18" s="10" t="s">
        <v>46</v>
      </c>
    </row>
    <row r="19" customFormat="false" ht="15" hidden="false" customHeight="false" outlineLevel="0" collapsed="false">
      <c r="A19" s="5" t="s">
        <v>43</v>
      </c>
      <c r="B19" s="5" t="s">
        <v>47</v>
      </c>
      <c r="C19" s="7" t="n">
        <v>3</v>
      </c>
      <c r="D19" s="7" t="s">
        <v>29</v>
      </c>
    </row>
    <row r="20" customFormat="false" ht="15" hidden="false" customHeight="false" outlineLevel="0" collapsed="false">
      <c r="A20" s="9" t="s">
        <v>43</v>
      </c>
      <c r="B20" s="9" t="s">
        <v>48</v>
      </c>
      <c r="C20" s="10" t="n">
        <v>3</v>
      </c>
      <c r="D20" s="10" t="s">
        <v>42</v>
      </c>
    </row>
    <row r="21" customFormat="false" ht="15" hidden="false" customHeight="false" outlineLevel="0" collapsed="false">
      <c r="A21" s="5" t="s">
        <v>43</v>
      </c>
      <c r="B21" s="5" t="s">
        <v>49</v>
      </c>
      <c r="C21" s="7" t="n">
        <v>3</v>
      </c>
      <c r="D21" s="7" t="s">
        <v>50</v>
      </c>
    </row>
    <row r="22" customFormat="false" ht="15" hidden="false" customHeight="false" outlineLevel="0" collapsed="false">
      <c r="A22" s="9" t="s">
        <v>43</v>
      </c>
      <c r="B22" s="9" t="s">
        <v>51</v>
      </c>
      <c r="C22" s="10" t="n">
        <v>3</v>
      </c>
      <c r="D22" s="1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7" min="5" style="0" width="14"/>
    <col collapsed="false" customWidth="true" hidden="false" outlineLevel="0" max="8" min="8" style="0" width="22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4" t="s">
        <v>54</v>
      </c>
    </row>
    <row r="4" customFormat="false" ht="15" hidden="false" customHeight="false" outlineLevel="0" collapsed="false">
      <c r="A4" s="8" t="s">
        <v>55</v>
      </c>
      <c r="B4" s="8" t="s">
        <v>56</v>
      </c>
      <c r="C4" s="8" t="s">
        <v>57</v>
      </c>
      <c r="D4" s="8" t="s">
        <v>58</v>
      </c>
      <c r="E4" s="8" t="s">
        <v>59</v>
      </c>
      <c r="F4" s="8" t="s">
        <v>60</v>
      </c>
      <c r="G4" s="8" t="s">
        <v>61</v>
      </c>
      <c r="H4" s="8" t="s">
        <v>62</v>
      </c>
      <c r="I4" s="8" t="s">
        <v>63</v>
      </c>
    </row>
    <row r="5" customFormat="false" ht="15" hidden="false" customHeight="false" outlineLevel="0" collapsed="false">
      <c r="A5" s="7" t="n">
        <v>1</v>
      </c>
      <c r="B5" s="11" t="n">
        <f aca="false">Settings!$B$4+(A5-1)*7+0</f>
        <v>46209</v>
      </c>
      <c r="C5" s="5" t="str">
        <f aca="false">TEXT(B5,"dddd")</f>
        <v>Monday</v>
      </c>
      <c r="D5" s="5" t="s">
        <v>64</v>
      </c>
      <c r="E5" s="7"/>
      <c r="F5" s="7"/>
      <c r="G5" s="12" t="str">
        <f aca="false">IFERROR(F5/E5,"")</f>
        <v/>
      </c>
      <c r="H5" s="13" t="n">
        <f aca="false">COUNTIFS('Strength Log'!$B$5:$B$220,B5,'Strength Log'!$H$5:$H$220,"&lt;&gt;")</f>
        <v>0</v>
      </c>
    </row>
    <row r="6" customFormat="false" ht="15" hidden="false" customHeight="false" outlineLevel="0" collapsed="false">
      <c r="A6" s="10" t="n">
        <v>1</v>
      </c>
      <c r="B6" s="14" t="n">
        <f aca="false">Settings!$B$4+(A6-1)*7+1</f>
        <v>46210</v>
      </c>
      <c r="C6" s="9" t="str">
        <f aca="false">TEXT(B6,"dddd")</f>
        <v>Tuesday</v>
      </c>
      <c r="D6" s="9" t="s">
        <v>65</v>
      </c>
      <c r="E6" s="10"/>
      <c r="F6" s="10"/>
      <c r="G6" s="15" t="str">
        <f aca="false">IFERROR(F6/E6,"")</f>
        <v/>
      </c>
      <c r="H6" s="16" t="n">
        <f aca="false">COUNTIFS('Strength Log'!$B$5:$B$220,B6,'Strength Log'!$H$5:$H$220,"&lt;&gt;")</f>
        <v>0</v>
      </c>
      <c r="I6" s="17"/>
    </row>
    <row r="7" customFormat="false" ht="15" hidden="false" customHeight="false" outlineLevel="0" collapsed="false">
      <c r="A7" s="7" t="n">
        <v>1</v>
      </c>
      <c r="B7" s="11" t="n">
        <f aca="false">Settings!$B$4+(A7-1)*7+2</f>
        <v>46211</v>
      </c>
      <c r="C7" s="5" t="str">
        <f aca="false">TEXT(B7,"dddd")</f>
        <v>Wednesday</v>
      </c>
      <c r="D7" s="5" t="s">
        <v>66</v>
      </c>
      <c r="E7" s="7"/>
      <c r="F7" s="7"/>
      <c r="G7" s="12" t="str">
        <f aca="false">IFERROR(F7/E7,"")</f>
        <v/>
      </c>
      <c r="H7" s="13" t="n">
        <f aca="false">COUNTIFS('Strength Log'!$B$5:$B$220,B7,'Strength Log'!$H$5:$H$220,"&lt;&gt;")</f>
        <v>0</v>
      </c>
    </row>
    <row r="8" customFormat="false" ht="15" hidden="false" customHeight="false" outlineLevel="0" collapsed="false">
      <c r="A8" s="10" t="n">
        <v>1</v>
      </c>
      <c r="B8" s="14" t="n">
        <f aca="false">Settings!$B$4+(A8-1)*7+3</f>
        <v>46212</v>
      </c>
      <c r="C8" s="9" t="str">
        <f aca="false">TEXT(B8,"dddd")</f>
        <v>Thursday</v>
      </c>
      <c r="D8" s="9" t="s">
        <v>67</v>
      </c>
      <c r="E8" s="10"/>
      <c r="F8" s="10"/>
      <c r="G8" s="15" t="str">
        <f aca="false">IFERROR(F8/E8,"")</f>
        <v/>
      </c>
      <c r="H8" s="16" t="n">
        <f aca="false">COUNTIFS('Strength Log'!$B$5:$B$220,B8,'Strength Log'!$H$5:$H$220,"&lt;&gt;")</f>
        <v>0</v>
      </c>
      <c r="I8" s="17"/>
    </row>
    <row r="9" customFormat="false" ht="15" hidden="false" customHeight="false" outlineLevel="0" collapsed="false">
      <c r="A9" s="7" t="n">
        <v>1</v>
      </c>
      <c r="B9" s="11" t="n">
        <f aca="false">Settings!$B$4+(A9-1)*7+4</f>
        <v>46213</v>
      </c>
      <c r="C9" s="5" t="str">
        <f aca="false">TEXT(B9,"dddd")</f>
        <v>Friday</v>
      </c>
      <c r="D9" s="5" t="s">
        <v>68</v>
      </c>
      <c r="E9" s="7"/>
      <c r="F9" s="7"/>
      <c r="G9" s="12" t="str">
        <f aca="false">IFERROR(F9/E9,"")</f>
        <v/>
      </c>
      <c r="H9" s="13" t="n">
        <f aca="false">COUNTIFS('Strength Log'!$B$5:$B$220,B9,'Strength Log'!$H$5:$H$220,"&lt;&gt;")</f>
        <v>0</v>
      </c>
    </row>
    <row r="10" customFormat="false" ht="15" hidden="false" customHeight="false" outlineLevel="0" collapsed="false">
      <c r="A10" s="10" t="n">
        <v>1</v>
      </c>
      <c r="B10" s="14" t="n">
        <f aca="false">Settings!$B$4+(A10-1)*7+5</f>
        <v>46214</v>
      </c>
      <c r="C10" s="9" t="str">
        <f aca="false">TEXT(B10,"dddd")</f>
        <v>Saturday</v>
      </c>
      <c r="D10" s="9" t="s">
        <v>69</v>
      </c>
      <c r="E10" s="10"/>
      <c r="F10" s="10"/>
      <c r="G10" s="15" t="str">
        <f aca="false">IFERROR(F10/E10,"")</f>
        <v/>
      </c>
      <c r="H10" s="16" t="n">
        <f aca="false">COUNTIFS('Strength Log'!$B$5:$B$220,B10,'Strength Log'!$H$5:$H$220,"&lt;&gt;")</f>
        <v>0</v>
      </c>
      <c r="I10" s="17"/>
    </row>
    <row r="11" customFormat="false" ht="15" hidden="false" customHeight="false" outlineLevel="0" collapsed="false">
      <c r="A11" s="7" t="n">
        <v>1</v>
      </c>
      <c r="B11" s="11" t="n">
        <f aca="false">Settings!$B$4+(A11-1)*7+6</f>
        <v>46215</v>
      </c>
      <c r="C11" s="5" t="str">
        <f aca="false">TEXT(B11,"dddd")</f>
        <v>Sunday</v>
      </c>
      <c r="D11" s="5" t="s">
        <v>70</v>
      </c>
      <c r="E11" s="7"/>
      <c r="F11" s="7"/>
      <c r="G11" s="12" t="str">
        <f aca="false">IFERROR(F11/E11,"")</f>
        <v/>
      </c>
      <c r="H11" s="13" t="n">
        <f aca="false">COUNTIFS('Strength Log'!$B$5:$B$220,B11,'Strength Log'!$H$5:$H$220,"&lt;&gt;")</f>
        <v>0</v>
      </c>
    </row>
    <row r="12" customFormat="false" ht="15" hidden="false" customHeight="false" outlineLevel="0" collapsed="false">
      <c r="A12" s="10" t="n">
        <v>2</v>
      </c>
      <c r="B12" s="14" t="n">
        <f aca="false">Settings!$B$4+(A12-1)*7+0</f>
        <v>46216</v>
      </c>
      <c r="C12" s="9" t="str">
        <f aca="false">TEXT(B12,"dddd")</f>
        <v>Monday</v>
      </c>
      <c r="D12" s="9" t="s">
        <v>64</v>
      </c>
      <c r="E12" s="10"/>
      <c r="F12" s="10"/>
      <c r="G12" s="15" t="str">
        <f aca="false">IFERROR(F12/E12,"")</f>
        <v/>
      </c>
      <c r="H12" s="16" t="n">
        <f aca="false">COUNTIFS('Strength Log'!$B$5:$B$220,B12,'Strength Log'!$H$5:$H$220,"&lt;&gt;")</f>
        <v>0</v>
      </c>
      <c r="I12" s="17"/>
    </row>
    <row r="13" customFormat="false" ht="15" hidden="false" customHeight="false" outlineLevel="0" collapsed="false">
      <c r="A13" s="7" t="n">
        <v>2</v>
      </c>
      <c r="B13" s="11" t="n">
        <f aca="false">Settings!$B$4+(A13-1)*7+1</f>
        <v>46217</v>
      </c>
      <c r="C13" s="5" t="str">
        <f aca="false">TEXT(B13,"dddd")</f>
        <v>Tuesday</v>
      </c>
      <c r="D13" s="5" t="s">
        <v>65</v>
      </c>
      <c r="E13" s="7"/>
      <c r="F13" s="7"/>
      <c r="G13" s="12" t="str">
        <f aca="false">IFERROR(F13/E13,"")</f>
        <v/>
      </c>
      <c r="H13" s="13" t="n">
        <f aca="false">COUNTIFS('Strength Log'!$B$5:$B$220,B13,'Strength Log'!$H$5:$H$220,"&lt;&gt;")</f>
        <v>0</v>
      </c>
    </row>
    <row r="14" customFormat="false" ht="15" hidden="false" customHeight="false" outlineLevel="0" collapsed="false">
      <c r="A14" s="10" t="n">
        <v>2</v>
      </c>
      <c r="B14" s="14" t="n">
        <f aca="false">Settings!$B$4+(A14-1)*7+2</f>
        <v>46218</v>
      </c>
      <c r="C14" s="9" t="str">
        <f aca="false">TEXT(B14,"dddd")</f>
        <v>Wednesday</v>
      </c>
      <c r="D14" s="9" t="s">
        <v>66</v>
      </c>
      <c r="E14" s="10"/>
      <c r="F14" s="10"/>
      <c r="G14" s="15" t="str">
        <f aca="false">IFERROR(F14/E14,"")</f>
        <v/>
      </c>
      <c r="H14" s="16" t="n">
        <f aca="false">COUNTIFS('Strength Log'!$B$5:$B$220,B14,'Strength Log'!$H$5:$H$220,"&lt;&gt;")</f>
        <v>0</v>
      </c>
      <c r="I14" s="17"/>
    </row>
    <row r="15" customFormat="false" ht="15" hidden="false" customHeight="false" outlineLevel="0" collapsed="false">
      <c r="A15" s="7" t="n">
        <v>2</v>
      </c>
      <c r="B15" s="11" t="n">
        <f aca="false">Settings!$B$4+(A15-1)*7+3</f>
        <v>46219</v>
      </c>
      <c r="C15" s="5" t="str">
        <f aca="false">TEXT(B15,"dddd")</f>
        <v>Thursday</v>
      </c>
      <c r="D15" s="5" t="s">
        <v>67</v>
      </c>
      <c r="E15" s="7"/>
      <c r="F15" s="7"/>
      <c r="G15" s="12" t="str">
        <f aca="false">IFERROR(F15/E15,"")</f>
        <v/>
      </c>
      <c r="H15" s="13" t="n">
        <f aca="false">COUNTIFS('Strength Log'!$B$5:$B$220,B15,'Strength Log'!$H$5:$H$220,"&lt;&gt;")</f>
        <v>0</v>
      </c>
    </row>
    <row r="16" customFormat="false" ht="15" hidden="false" customHeight="false" outlineLevel="0" collapsed="false">
      <c r="A16" s="10" t="n">
        <v>2</v>
      </c>
      <c r="B16" s="14" t="n">
        <f aca="false">Settings!$B$4+(A16-1)*7+4</f>
        <v>46220</v>
      </c>
      <c r="C16" s="9" t="str">
        <f aca="false">TEXT(B16,"dddd")</f>
        <v>Friday</v>
      </c>
      <c r="D16" s="9" t="s">
        <v>68</v>
      </c>
      <c r="E16" s="10"/>
      <c r="F16" s="10"/>
      <c r="G16" s="15" t="str">
        <f aca="false">IFERROR(F16/E16,"")</f>
        <v/>
      </c>
      <c r="H16" s="16" t="n">
        <f aca="false">COUNTIFS('Strength Log'!$B$5:$B$220,B16,'Strength Log'!$H$5:$H$220,"&lt;&gt;")</f>
        <v>0</v>
      </c>
      <c r="I16" s="17"/>
    </row>
    <row r="17" customFormat="false" ht="15" hidden="false" customHeight="false" outlineLevel="0" collapsed="false">
      <c r="A17" s="7" t="n">
        <v>2</v>
      </c>
      <c r="B17" s="11" t="n">
        <f aca="false">Settings!$B$4+(A17-1)*7+5</f>
        <v>46221</v>
      </c>
      <c r="C17" s="5" t="str">
        <f aca="false">TEXT(B17,"dddd")</f>
        <v>Saturday</v>
      </c>
      <c r="D17" s="5" t="s">
        <v>69</v>
      </c>
      <c r="E17" s="7"/>
      <c r="F17" s="7"/>
      <c r="G17" s="12" t="str">
        <f aca="false">IFERROR(F17/E17,"")</f>
        <v/>
      </c>
      <c r="H17" s="13" t="n">
        <f aca="false">COUNTIFS('Strength Log'!$B$5:$B$220,B17,'Strength Log'!$H$5:$H$220,"&lt;&gt;")</f>
        <v>0</v>
      </c>
    </row>
    <row r="18" customFormat="false" ht="15" hidden="false" customHeight="false" outlineLevel="0" collapsed="false">
      <c r="A18" s="10" t="n">
        <v>2</v>
      </c>
      <c r="B18" s="14" t="n">
        <f aca="false">Settings!$B$4+(A18-1)*7+6</f>
        <v>46222</v>
      </c>
      <c r="C18" s="9" t="str">
        <f aca="false">TEXT(B18,"dddd")</f>
        <v>Sunday</v>
      </c>
      <c r="D18" s="9" t="s">
        <v>70</v>
      </c>
      <c r="E18" s="10"/>
      <c r="F18" s="10"/>
      <c r="G18" s="15" t="str">
        <f aca="false">IFERROR(F18/E18,"")</f>
        <v/>
      </c>
      <c r="H18" s="16" t="n">
        <f aca="false">COUNTIFS('Strength Log'!$B$5:$B$220,B18,'Strength Log'!$H$5:$H$220,"&lt;&gt;")</f>
        <v>0</v>
      </c>
      <c r="I18" s="17"/>
    </row>
    <row r="19" customFormat="false" ht="15" hidden="false" customHeight="false" outlineLevel="0" collapsed="false">
      <c r="A19" s="7" t="n">
        <v>3</v>
      </c>
      <c r="B19" s="11" t="n">
        <f aca="false">Settings!$B$4+(A19-1)*7+0</f>
        <v>46223</v>
      </c>
      <c r="C19" s="5" t="str">
        <f aca="false">TEXT(B19,"dddd")</f>
        <v>Monday</v>
      </c>
      <c r="D19" s="5" t="s">
        <v>64</v>
      </c>
      <c r="E19" s="7"/>
      <c r="F19" s="7"/>
      <c r="G19" s="12" t="str">
        <f aca="false">IFERROR(F19/E19,"")</f>
        <v/>
      </c>
      <c r="H19" s="13" t="n">
        <f aca="false">COUNTIFS('Strength Log'!$B$5:$B$220,B19,'Strength Log'!$H$5:$H$220,"&lt;&gt;")</f>
        <v>0</v>
      </c>
    </row>
    <row r="20" customFormat="false" ht="15" hidden="false" customHeight="false" outlineLevel="0" collapsed="false">
      <c r="A20" s="10" t="n">
        <v>3</v>
      </c>
      <c r="B20" s="14" t="n">
        <f aca="false">Settings!$B$4+(A20-1)*7+1</f>
        <v>46224</v>
      </c>
      <c r="C20" s="9" t="str">
        <f aca="false">TEXT(B20,"dddd")</f>
        <v>Tuesday</v>
      </c>
      <c r="D20" s="9" t="s">
        <v>65</v>
      </c>
      <c r="E20" s="10"/>
      <c r="F20" s="10"/>
      <c r="G20" s="15" t="str">
        <f aca="false">IFERROR(F20/E20,"")</f>
        <v/>
      </c>
      <c r="H20" s="16" t="n">
        <f aca="false">COUNTIFS('Strength Log'!$B$5:$B$220,B20,'Strength Log'!$H$5:$H$220,"&lt;&gt;")</f>
        <v>0</v>
      </c>
      <c r="I20" s="17"/>
    </row>
    <row r="21" customFormat="false" ht="15" hidden="false" customHeight="false" outlineLevel="0" collapsed="false">
      <c r="A21" s="7" t="n">
        <v>3</v>
      </c>
      <c r="B21" s="11" t="n">
        <f aca="false">Settings!$B$4+(A21-1)*7+2</f>
        <v>46225</v>
      </c>
      <c r="C21" s="5" t="str">
        <f aca="false">TEXT(B21,"dddd")</f>
        <v>Wednesday</v>
      </c>
      <c r="D21" s="5" t="s">
        <v>66</v>
      </c>
      <c r="E21" s="7"/>
      <c r="F21" s="7"/>
      <c r="G21" s="12" t="str">
        <f aca="false">IFERROR(F21/E21,"")</f>
        <v/>
      </c>
      <c r="H21" s="13" t="n">
        <f aca="false">COUNTIFS('Strength Log'!$B$5:$B$220,B21,'Strength Log'!$H$5:$H$220,"&lt;&gt;")</f>
        <v>0</v>
      </c>
    </row>
    <row r="22" customFormat="false" ht="15" hidden="false" customHeight="false" outlineLevel="0" collapsed="false">
      <c r="A22" s="10" t="n">
        <v>3</v>
      </c>
      <c r="B22" s="14" t="n">
        <f aca="false">Settings!$B$4+(A22-1)*7+3</f>
        <v>46226</v>
      </c>
      <c r="C22" s="9" t="str">
        <f aca="false">TEXT(B22,"dddd")</f>
        <v>Thursday</v>
      </c>
      <c r="D22" s="9" t="s">
        <v>67</v>
      </c>
      <c r="E22" s="10"/>
      <c r="F22" s="10"/>
      <c r="G22" s="15" t="str">
        <f aca="false">IFERROR(F22/E22,"")</f>
        <v/>
      </c>
      <c r="H22" s="16" t="n">
        <f aca="false">COUNTIFS('Strength Log'!$B$5:$B$220,B22,'Strength Log'!$H$5:$H$220,"&lt;&gt;")</f>
        <v>0</v>
      </c>
      <c r="I22" s="17"/>
    </row>
    <row r="23" customFormat="false" ht="15" hidden="false" customHeight="false" outlineLevel="0" collapsed="false">
      <c r="A23" s="7" t="n">
        <v>3</v>
      </c>
      <c r="B23" s="11" t="n">
        <f aca="false">Settings!$B$4+(A23-1)*7+4</f>
        <v>46227</v>
      </c>
      <c r="C23" s="5" t="str">
        <f aca="false">TEXT(B23,"dddd")</f>
        <v>Friday</v>
      </c>
      <c r="D23" s="5" t="s">
        <v>68</v>
      </c>
      <c r="E23" s="7"/>
      <c r="F23" s="7"/>
      <c r="G23" s="12" t="str">
        <f aca="false">IFERROR(F23/E23,"")</f>
        <v/>
      </c>
      <c r="H23" s="13" t="n">
        <f aca="false">COUNTIFS('Strength Log'!$B$5:$B$220,B23,'Strength Log'!$H$5:$H$220,"&lt;&gt;")</f>
        <v>0</v>
      </c>
    </row>
    <row r="24" customFormat="false" ht="15" hidden="false" customHeight="false" outlineLevel="0" collapsed="false">
      <c r="A24" s="10" t="n">
        <v>3</v>
      </c>
      <c r="B24" s="14" t="n">
        <f aca="false">Settings!$B$4+(A24-1)*7+5</f>
        <v>46228</v>
      </c>
      <c r="C24" s="9" t="str">
        <f aca="false">TEXT(B24,"dddd")</f>
        <v>Saturday</v>
      </c>
      <c r="D24" s="9" t="s">
        <v>69</v>
      </c>
      <c r="E24" s="10"/>
      <c r="F24" s="10"/>
      <c r="G24" s="15" t="str">
        <f aca="false">IFERROR(F24/E24,"")</f>
        <v/>
      </c>
      <c r="H24" s="16" t="n">
        <f aca="false">COUNTIFS('Strength Log'!$B$5:$B$220,B24,'Strength Log'!$H$5:$H$220,"&lt;&gt;")</f>
        <v>0</v>
      </c>
      <c r="I24" s="17"/>
    </row>
    <row r="25" customFormat="false" ht="15" hidden="false" customHeight="false" outlineLevel="0" collapsed="false">
      <c r="A25" s="7" t="n">
        <v>3</v>
      </c>
      <c r="B25" s="11" t="n">
        <f aca="false">Settings!$B$4+(A25-1)*7+6</f>
        <v>46229</v>
      </c>
      <c r="C25" s="5" t="str">
        <f aca="false">TEXT(B25,"dddd")</f>
        <v>Sunday</v>
      </c>
      <c r="D25" s="5" t="s">
        <v>70</v>
      </c>
      <c r="E25" s="7"/>
      <c r="F25" s="7"/>
      <c r="G25" s="12" t="str">
        <f aca="false">IFERROR(F25/E25,"")</f>
        <v/>
      </c>
      <c r="H25" s="13" t="n">
        <f aca="false">COUNTIFS('Strength Log'!$B$5:$B$220,B25,'Strength Log'!$H$5:$H$220,"&lt;&gt;")</f>
        <v>0</v>
      </c>
    </row>
    <row r="26" customFormat="false" ht="15" hidden="false" customHeight="false" outlineLevel="0" collapsed="false">
      <c r="A26" s="10" t="n">
        <v>4</v>
      </c>
      <c r="B26" s="14" t="n">
        <f aca="false">Settings!$B$4+(A26-1)*7+0</f>
        <v>46230</v>
      </c>
      <c r="C26" s="9" t="str">
        <f aca="false">TEXT(B26,"dddd")</f>
        <v>Monday</v>
      </c>
      <c r="D26" s="9" t="s">
        <v>64</v>
      </c>
      <c r="E26" s="10"/>
      <c r="F26" s="10"/>
      <c r="G26" s="15" t="str">
        <f aca="false">IFERROR(F26/E26,"")</f>
        <v/>
      </c>
      <c r="H26" s="16" t="n">
        <f aca="false">COUNTIFS('Strength Log'!$B$5:$B$220,B26,'Strength Log'!$H$5:$H$220,"&lt;&gt;")</f>
        <v>0</v>
      </c>
      <c r="I26" s="17"/>
    </row>
    <row r="27" customFormat="false" ht="15" hidden="false" customHeight="false" outlineLevel="0" collapsed="false">
      <c r="A27" s="7" t="n">
        <v>4</v>
      </c>
      <c r="B27" s="11" t="n">
        <f aca="false">Settings!$B$4+(A27-1)*7+1</f>
        <v>46231</v>
      </c>
      <c r="C27" s="5" t="str">
        <f aca="false">TEXT(B27,"dddd")</f>
        <v>Tuesday</v>
      </c>
      <c r="D27" s="5" t="s">
        <v>65</v>
      </c>
      <c r="E27" s="7"/>
      <c r="F27" s="7"/>
      <c r="G27" s="12" t="str">
        <f aca="false">IFERROR(F27/E27,"")</f>
        <v/>
      </c>
      <c r="H27" s="13" t="n">
        <f aca="false">COUNTIFS('Strength Log'!$B$5:$B$220,B27,'Strength Log'!$H$5:$H$220,"&lt;&gt;")</f>
        <v>0</v>
      </c>
    </row>
    <row r="28" customFormat="false" ht="15" hidden="false" customHeight="false" outlineLevel="0" collapsed="false">
      <c r="A28" s="10" t="n">
        <v>4</v>
      </c>
      <c r="B28" s="14" t="n">
        <f aca="false">Settings!$B$4+(A28-1)*7+2</f>
        <v>46232</v>
      </c>
      <c r="C28" s="9" t="str">
        <f aca="false">TEXT(B28,"dddd")</f>
        <v>Wednesday</v>
      </c>
      <c r="D28" s="9" t="s">
        <v>66</v>
      </c>
      <c r="E28" s="10"/>
      <c r="F28" s="10"/>
      <c r="G28" s="15" t="str">
        <f aca="false">IFERROR(F28/E28,"")</f>
        <v/>
      </c>
      <c r="H28" s="16" t="n">
        <f aca="false">COUNTIFS('Strength Log'!$B$5:$B$220,B28,'Strength Log'!$H$5:$H$220,"&lt;&gt;")</f>
        <v>0</v>
      </c>
      <c r="I28" s="17"/>
    </row>
    <row r="29" customFormat="false" ht="15" hidden="false" customHeight="false" outlineLevel="0" collapsed="false">
      <c r="A29" s="7" t="n">
        <v>4</v>
      </c>
      <c r="B29" s="11" t="n">
        <f aca="false">Settings!$B$4+(A29-1)*7+3</f>
        <v>46233</v>
      </c>
      <c r="C29" s="5" t="str">
        <f aca="false">TEXT(B29,"dddd")</f>
        <v>Thursday</v>
      </c>
      <c r="D29" s="5" t="s">
        <v>67</v>
      </c>
      <c r="E29" s="7"/>
      <c r="F29" s="7"/>
      <c r="G29" s="12" t="str">
        <f aca="false">IFERROR(F29/E29,"")</f>
        <v/>
      </c>
      <c r="H29" s="13" t="n">
        <f aca="false">COUNTIFS('Strength Log'!$B$5:$B$220,B29,'Strength Log'!$H$5:$H$220,"&lt;&gt;")</f>
        <v>0</v>
      </c>
    </row>
    <row r="30" customFormat="false" ht="15" hidden="false" customHeight="false" outlineLevel="0" collapsed="false">
      <c r="A30" s="10" t="n">
        <v>4</v>
      </c>
      <c r="B30" s="14" t="n">
        <f aca="false">Settings!$B$4+(A30-1)*7+4</f>
        <v>46234</v>
      </c>
      <c r="C30" s="9" t="str">
        <f aca="false">TEXT(B30,"dddd")</f>
        <v>Friday</v>
      </c>
      <c r="D30" s="9" t="s">
        <v>68</v>
      </c>
      <c r="E30" s="10"/>
      <c r="F30" s="10"/>
      <c r="G30" s="15" t="str">
        <f aca="false">IFERROR(F30/E30,"")</f>
        <v/>
      </c>
      <c r="H30" s="16" t="n">
        <f aca="false">COUNTIFS('Strength Log'!$B$5:$B$220,B30,'Strength Log'!$H$5:$H$220,"&lt;&gt;")</f>
        <v>0</v>
      </c>
      <c r="I30" s="17"/>
    </row>
    <row r="31" customFormat="false" ht="15" hidden="false" customHeight="false" outlineLevel="0" collapsed="false">
      <c r="A31" s="7" t="n">
        <v>4</v>
      </c>
      <c r="B31" s="11" t="n">
        <f aca="false">Settings!$B$4+(A31-1)*7+5</f>
        <v>46235</v>
      </c>
      <c r="C31" s="5" t="str">
        <f aca="false">TEXT(B31,"dddd")</f>
        <v>Saturday</v>
      </c>
      <c r="D31" s="5" t="s">
        <v>69</v>
      </c>
      <c r="E31" s="7"/>
      <c r="F31" s="7"/>
      <c r="G31" s="12" t="str">
        <f aca="false">IFERROR(F31/E31,"")</f>
        <v/>
      </c>
      <c r="H31" s="13" t="n">
        <f aca="false">COUNTIFS('Strength Log'!$B$5:$B$220,B31,'Strength Log'!$H$5:$H$220,"&lt;&gt;")</f>
        <v>0</v>
      </c>
    </row>
    <row r="32" customFormat="false" ht="15" hidden="false" customHeight="false" outlineLevel="0" collapsed="false">
      <c r="A32" s="10" t="n">
        <v>4</v>
      </c>
      <c r="B32" s="14" t="n">
        <f aca="false">Settings!$B$4+(A32-1)*7+6</f>
        <v>46236</v>
      </c>
      <c r="C32" s="9" t="str">
        <f aca="false">TEXT(B32,"dddd")</f>
        <v>Sunday</v>
      </c>
      <c r="D32" s="9" t="s">
        <v>70</v>
      </c>
      <c r="E32" s="10"/>
      <c r="F32" s="10"/>
      <c r="G32" s="15" t="str">
        <f aca="false">IFERROR(F32/E32,"")</f>
        <v/>
      </c>
      <c r="H32" s="16" t="n">
        <f aca="false">COUNTIFS('Strength Log'!$B$5:$B$220,B32,'Strength Log'!$H$5:$H$220,"&lt;&gt;")</f>
        <v>0</v>
      </c>
      <c r="I32" s="17"/>
    </row>
    <row r="33" customFormat="false" ht="15" hidden="false" customHeight="false" outlineLevel="0" collapsed="false">
      <c r="A33" s="7" t="n">
        <v>5</v>
      </c>
      <c r="B33" s="11" t="n">
        <f aca="false">Settings!$B$4+(A33-1)*7+0</f>
        <v>46237</v>
      </c>
      <c r="C33" s="5" t="str">
        <f aca="false">TEXT(B33,"dddd")</f>
        <v>Monday</v>
      </c>
      <c r="D33" s="5" t="s">
        <v>64</v>
      </c>
      <c r="E33" s="7"/>
      <c r="F33" s="7"/>
      <c r="G33" s="12" t="str">
        <f aca="false">IFERROR(F33/E33,"")</f>
        <v/>
      </c>
      <c r="H33" s="13" t="n">
        <f aca="false">COUNTIFS('Strength Log'!$B$5:$B$220,B33,'Strength Log'!$H$5:$H$220,"&lt;&gt;")</f>
        <v>0</v>
      </c>
    </row>
    <row r="34" customFormat="false" ht="15" hidden="false" customHeight="false" outlineLevel="0" collapsed="false">
      <c r="A34" s="10" t="n">
        <v>5</v>
      </c>
      <c r="B34" s="14" t="n">
        <f aca="false">Settings!$B$4+(A34-1)*7+1</f>
        <v>46238</v>
      </c>
      <c r="C34" s="9" t="str">
        <f aca="false">TEXT(B34,"dddd")</f>
        <v>Tuesday</v>
      </c>
      <c r="D34" s="9" t="s">
        <v>65</v>
      </c>
      <c r="E34" s="10"/>
      <c r="F34" s="10"/>
      <c r="G34" s="15" t="str">
        <f aca="false">IFERROR(F34/E34,"")</f>
        <v/>
      </c>
      <c r="H34" s="16" t="n">
        <f aca="false">COUNTIFS('Strength Log'!$B$5:$B$220,B34,'Strength Log'!$H$5:$H$220,"&lt;&gt;")</f>
        <v>0</v>
      </c>
      <c r="I34" s="17"/>
    </row>
    <row r="35" customFormat="false" ht="15" hidden="false" customHeight="false" outlineLevel="0" collapsed="false">
      <c r="A35" s="7" t="n">
        <v>5</v>
      </c>
      <c r="B35" s="11" t="n">
        <f aca="false">Settings!$B$4+(A35-1)*7+2</f>
        <v>46239</v>
      </c>
      <c r="C35" s="5" t="str">
        <f aca="false">TEXT(B35,"dddd")</f>
        <v>Wednesday</v>
      </c>
      <c r="D35" s="5" t="s">
        <v>66</v>
      </c>
      <c r="E35" s="7"/>
      <c r="F35" s="7"/>
      <c r="G35" s="12" t="str">
        <f aca="false">IFERROR(F35/E35,"")</f>
        <v/>
      </c>
      <c r="H35" s="13" t="n">
        <f aca="false">COUNTIFS('Strength Log'!$B$5:$B$220,B35,'Strength Log'!$H$5:$H$220,"&lt;&gt;")</f>
        <v>0</v>
      </c>
    </row>
    <row r="36" customFormat="false" ht="15" hidden="false" customHeight="false" outlineLevel="0" collapsed="false">
      <c r="A36" s="10" t="n">
        <v>5</v>
      </c>
      <c r="B36" s="14" t="n">
        <f aca="false">Settings!$B$4+(A36-1)*7+3</f>
        <v>46240</v>
      </c>
      <c r="C36" s="9" t="str">
        <f aca="false">TEXT(B36,"dddd")</f>
        <v>Thursday</v>
      </c>
      <c r="D36" s="9" t="s">
        <v>67</v>
      </c>
      <c r="E36" s="10"/>
      <c r="F36" s="10"/>
      <c r="G36" s="15" t="str">
        <f aca="false">IFERROR(F36/E36,"")</f>
        <v/>
      </c>
      <c r="H36" s="16" t="n">
        <f aca="false">COUNTIFS('Strength Log'!$B$5:$B$220,B36,'Strength Log'!$H$5:$H$220,"&lt;&gt;")</f>
        <v>0</v>
      </c>
      <c r="I36" s="17"/>
    </row>
    <row r="37" customFormat="false" ht="15" hidden="false" customHeight="false" outlineLevel="0" collapsed="false">
      <c r="A37" s="7" t="n">
        <v>5</v>
      </c>
      <c r="B37" s="11" t="n">
        <f aca="false">Settings!$B$4+(A37-1)*7+4</f>
        <v>46241</v>
      </c>
      <c r="C37" s="5" t="str">
        <f aca="false">TEXT(B37,"dddd")</f>
        <v>Friday</v>
      </c>
      <c r="D37" s="5" t="s">
        <v>68</v>
      </c>
      <c r="E37" s="7"/>
      <c r="F37" s="7"/>
      <c r="G37" s="12" t="str">
        <f aca="false">IFERROR(F37/E37,"")</f>
        <v/>
      </c>
      <c r="H37" s="13" t="n">
        <f aca="false">COUNTIFS('Strength Log'!$B$5:$B$220,B37,'Strength Log'!$H$5:$H$220,"&lt;&gt;")</f>
        <v>0</v>
      </c>
    </row>
    <row r="38" customFormat="false" ht="15" hidden="false" customHeight="false" outlineLevel="0" collapsed="false">
      <c r="A38" s="10" t="n">
        <v>5</v>
      </c>
      <c r="B38" s="14" t="n">
        <f aca="false">Settings!$B$4+(A38-1)*7+5</f>
        <v>46242</v>
      </c>
      <c r="C38" s="9" t="str">
        <f aca="false">TEXT(B38,"dddd")</f>
        <v>Saturday</v>
      </c>
      <c r="D38" s="9" t="s">
        <v>69</v>
      </c>
      <c r="E38" s="10"/>
      <c r="F38" s="10"/>
      <c r="G38" s="15" t="str">
        <f aca="false">IFERROR(F38/E38,"")</f>
        <v/>
      </c>
      <c r="H38" s="16" t="n">
        <f aca="false">COUNTIFS('Strength Log'!$B$5:$B$220,B38,'Strength Log'!$H$5:$H$220,"&lt;&gt;")</f>
        <v>0</v>
      </c>
      <c r="I38" s="17"/>
    </row>
    <row r="39" customFormat="false" ht="15" hidden="false" customHeight="false" outlineLevel="0" collapsed="false">
      <c r="A39" s="7" t="n">
        <v>5</v>
      </c>
      <c r="B39" s="11" t="n">
        <f aca="false">Settings!$B$4+(A39-1)*7+6</f>
        <v>46243</v>
      </c>
      <c r="C39" s="5" t="str">
        <f aca="false">TEXT(B39,"dddd")</f>
        <v>Sunday</v>
      </c>
      <c r="D39" s="5" t="s">
        <v>70</v>
      </c>
      <c r="E39" s="7"/>
      <c r="F39" s="7"/>
      <c r="G39" s="12" t="str">
        <f aca="false">IFERROR(F39/E39,"")</f>
        <v/>
      </c>
      <c r="H39" s="13" t="n">
        <f aca="false">COUNTIFS('Strength Log'!$B$5:$B$220,B39,'Strength Log'!$H$5:$H$220,"&lt;&gt;")</f>
        <v>0</v>
      </c>
    </row>
    <row r="40" customFormat="false" ht="15" hidden="false" customHeight="false" outlineLevel="0" collapsed="false">
      <c r="A40" s="10" t="n">
        <v>6</v>
      </c>
      <c r="B40" s="14" t="n">
        <f aca="false">Settings!$B$4+(A40-1)*7+0</f>
        <v>46244</v>
      </c>
      <c r="C40" s="9" t="str">
        <f aca="false">TEXT(B40,"dddd")</f>
        <v>Monday</v>
      </c>
      <c r="D40" s="9" t="s">
        <v>64</v>
      </c>
      <c r="E40" s="10"/>
      <c r="F40" s="10"/>
      <c r="G40" s="15" t="str">
        <f aca="false">IFERROR(F40/E40,"")</f>
        <v/>
      </c>
      <c r="H40" s="16" t="n">
        <f aca="false">COUNTIFS('Strength Log'!$B$5:$B$220,B40,'Strength Log'!$H$5:$H$220,"&lt;&gt;")</f>
        <v>0</v>
      </c>
      <c r="I40" s="17"/>
    </row>
    <row r="41" customFormat="false" ht="15" hidden="false" customHeight="false" outlineLevel="0" collapsed="false">
      <c r="A41" s="7" t="n">
        <v>6</v>
      </c>
      <c r="B41" s="11" t="n">
        <f aca="false">Settings!$B$4+(A41-1)*7+1</f>
        <v>46245</v>
      </c>
      <c r="C41" s="5" t="str">
        <f aca="false">TEXT(B41,"dddd")</f>
        <v>Tuesday</v>
      </c>
      <c r="D41" s="5" t="s">
        <v>65</v>
      </c>
      <c r="E41" s="7"/>
      <c r="F41" s="7"/>
      <c r="G41" s="12" t="str">
        <f aca="false">IFERROR(F41/E41,"")</f>
        <v/>
      </c>
      <c r="H41" s="13" t="n">
        <f aca="false">COUNTIFS('Strength Log'!$B$5:$B$220,B41,'Strength Log'!$H$5:$H$220,"&lt;&gt;")</f>
        <v>0</v>
      </c>
    </row>
    <row r="42" customFormat="false" ht="15" hidden="false" customHeight="false" outlineLevel="0" collapsed="false">
      <c r="A42" s="10" t="n">
        <v>6</v>
      </c>
      <c r="B42" s="14" t="n">
        <f aca="false">Settings!$B$4+(A42-1)*7+2</f>
        <v>46246</v>
      </c>
      <c r="C42" s="9" t="str">
        <f aca="false">TEXT(B42,"dddd")</f>
        <v>Wednesday</v>
      </c>
      <c r="D42" s="9" t="s">
        <v>66</v>
      </c>
      <c r="E42" s="10"/>
      <c r="F42" s="10"/>
      <c r="G42" s="15" t="str">
        <f aca="false">IFERROR(F42/E42,"")</f>
        <v/>
      </c>
      <c r="H42" s="16" t="n">
        <f aca="false">COUNTIFS('Strength Log'!$B$5:$B$220,B42,'Strength Log'!$H$5:$H$220,"&lt;&gt;")</f>
        <v>0</v>
      </c>
      <c r="I42" s="17"/>
    </row>
    <row r="43" customFormat="false" ht="15" hidden="false" customHeight="false" outlineLevel="0" collapsed="false">
      <c r="A43" s="7" t="n">
        <v>6</v>
      </c>
      <c r="B43" s="11" t="n">
        <f aca="false">Settings!$B$4+(A43-1)*7+3</f>
        <v>46247</v>
      </c>
      <c r="C43" s="5" t="str">
        <f aca="false">TEXT(B43,"dddd")</f>
        <v>Thursday</v>
      </c>
      <c r="D43" s="5" t="s">
        <v>67</v>
      </c>
      <c r="E43" s="7"/>
      <c r="F43" s="7"/>
      <c r="G43" s="12" t="str">
        <f aca="false">IFERROR(F43/E43,"")</f>
        <v/>
      </c>
      <c r="H43" s="13" t="n">
        <f aca="false">COUNTIFS('Strength Log'!$B$5:$B$220,B43,'Strength Log'!$H$5:$H$220,"&lt;&gt;")</f>
        <v>0</v>
      </c>
    </row>
    <row r="44" customFormat="false" ht="15" hidden="false" customHeight="false" outlineLevel="0" collapsed="false">
      <c r="A44" s="10" t="n">
        <v>6</v>
      </c>
      <c r="B44" s="14" t="n">
        <f aca="false">Settings!$B$4+(A44-1)*7+4</f>
        <v>46248</v>
      </c>
      <c r="C44" s="9" t="str">
        <f aca="false">TEXT(B44,"dddd")</f>
        <v>Friday</v>
      </c>
      <c r="D44" s="9" t="s">
        <v>68</v>
      </c>
      <c r="E44" s="10"/>
      <c r="F44" s="10"/>
      <c r="G44" s="15" t="str">
        <f aca="false">IFERROR(F44/E44,"")</f>
        <v/>
      </c>
      <c r="H44" s="16" t="n">
        <f aca="false">COUNTIFS('Strength Log'!$B$5:$B$220,B44,'Strength Log'!$H$5:$H$220,"&lt;&gt;")</f>
        <v>0</v>
      </c>
      <c r="I44" s="17"/>
    </row>
    <row r="45" customFormat="false" ht="15" hidden="false" customHeight="false" outlineLevel="0" collapsed="false">
      <c r="A45" s="7" t="n">
        <v>6</v>
      </c>
      <c r="B45" s="11" t="n">
        <f aca="false">Settings!$B$4+(A45-1)*7+5</f>
        <v>46249</v>
      </c>
      <c r="C45" s="5" t="str">
        <f aca="false">TEXT(B45,"dddd")</f>
        <v>Saturday</v>
      </c>
      <c r="D45" s="5" t="s">
        <v>69</v>
      </c>
      <c r="E45" s="7"/>
      <c r="F45" s="7"/>
      <c r="G45" s="12" t="str">
        <f aca="false">IFERROR(F45/E45,"")</f>
        <v/>
      </c>
      <c r="H45" s="13" t="n">
        <f aca="false">COUNTIFS('Strength Log'!$B$5:$B$220,B45,'Strength Log'!$H$5:$H$220,"&lt;&gt;")</f>
        <v>0</v>
      </c>
    </row>
    <row r="46" customFormat="false" ht="15" hidden="false" customHeight="false" outlineLevel="0" collapsed="false">
      <c r="A46" s="10" t="n">
        <v>6</v>
      </c>
      <c r="B46" s="14" t="n">
        <f aca="false">Settings!$B$4+(A46-1)*7+6</f>
        <v>46250</v>
      </c>
      <c r="C46" s="9" t="str">
        <f aca="false">TEXT(B46,"dddd")</f>
        <v>Sunday</v>
      </c>
      <c r="D46" s="9" t="s">
        <v>70</v>
      </c>
      <c r="E46" s="10"/>
      <c r="F46" s="10"/>
      <c r="G46" s="15" t="str">
        <f aca="false">IFERROR(F46/E46,"")</f>
        <v/>
      </c>
      <c r="H46" s="16" t="n">
        <f aca="false">COUNTIFS('Strength Log'!$B$5:$B$220,B46,'Strength Log'!$H$5:$H$220,"&lt;&gt;")</f>
        <v>0</v>
      </c>
      <c r="I46" s="17"/>
    </row>
    <row r="47" customFormat="false" ht="15" hidden="false" customHeight="false" outlineLevel="0" collapsed="false">
      <c r="A47" s="7" t="n">
        <v>7</v>
      </c>
      <c r="B47" s="11" t="n">
        <f aca="false">Settings!$B$4+(A47-1)*7+0</f>
        <v>46251</v>
      </c>
      <c r="C47" s="5" t="str">
        <f aca="false">TEXT(B47,"dddd")</f>
        <v>Monday</v>
      </c>
      <c r="D47" s="5" t="s">
        <v>64</v>
      </c>
      <c r="E47" s="7"/>
      <c r="F47" s="7"/>
      <c r="G47" s="12" t="str">
        <f aca="false">IFERROR(F47/E47,"")</f>
        <v/>
      </c>
      <c r="H47" s="13" t="n">
        <f aca="false">COUNTIFS('Strength Log'!$B$5:$B$220,B47,'Strength Log'!$H$5:$H$220,"&lt;&gt;")</f>
        <v>0</v>
      </c>
    </row>
    <row r="48" customFormat="false" ht="15" hidden="false" customHeight="false" outlineLevel="0" collapsed="false">
      <c r="A48" s="10" t="n">
        <v>7</v>
      </c>
      <c r="B48" s="14" t="n">
        <f aca="false">Settings!$B$4+(A48-1)*7+1</f>
        <v>46252</v>
      </c>
      <c r="C48" s="9" t="str">
        <f aca="false">TEXT(B48,"dddd")</f>
        <v>Tuesday</v>
      </c>
      <c r="D48" s="9" t="s">
        <v>65</v>
      </c>
      <c r="E48" s="10"/>
      <c r="F48" s="10"/>
      <c r="G48" s="15" t="str">
        <f aca="false">IFERROR(F48/E48,"")</f>
        <v/>
      </c>
      <c r="H48" s="16" t="n">
        <f aca="false">COUNTIFS('Strength Log'!$B$5:$B$220,B48,'Strength Log'!$H$5:$H$220,"&lt;&gt;")</f>
        <v>0</v>
      </c>
      <c r="I48" s="17"/>
    </row>
    <row r="49" customFormat="false" ht="15" hidden="false" customHeight="false" outlineLevel="0" collapsed="false">
      <c r="A49" s="7" t="n">
        <v>7</v>
      </c>
      <c r="B49" s="11" t="n">
        <f aca="false">Settings!$B$4+(A49-1)*7+2</f>
        <v>46253</v>
      </c>
      <c r="C49" s="5" t="str">
        <f aca="false">TEXT(B49,"dddd")</f>
        <v>Wednesday</v>
      </c>
      <c r="D49" s="5" t="s">
        <v>66</v>
      </c>
      <c r="E49" s="7"/>
      <c r="F49" s="7"/>
      <c r="G49" s="12" t="str">
        <f aca="false">IFERROR(F49/E49,"")</f>
        <v/>
      </c>
      <c r="H49" s="13" t="n">
        <f aca="false">COUNTIFS('Strength Log'!$B$5:$B$220,B49,'Strength Log'!$H$5:$H$220,"&lt;&gt;")</f>
        <v>0</v>
      </c>
    </row>
    <row r="50" customFormat="false" ht="15" hidden="false" customHeight="false" outlineLevel="0" collapsed="false">
      <c r="A50" s="10" t="n">
        <v>7</v>
      </c>
      <c r="B50" s="14" t="n">
        <f aca="false">Settings!$B$4+(A50-1)*7+3</f>
        <v>46254</v>
      </c>
      <c r="C50" s="9" t="str">
        <f aca="false">TEXT(B50,"dddd")</f>
        <v>Thursday</v>
      </c>
      <c r="D50" s="9" t="s">
        <v>67</v>
      </c>
      <c r="E50" s="10"/>
      <c r="F50" s="10"/>
      <c r="G50" s="15" t="str">
        <f aca="false">IFERROR(F50/E50,"")</f>
        <v/>
      </c>
      <c r="H50" s="16" t="n">
        <f aca="false">COUNTIFS('Strength Log'!$B$5:$B$220,B50,'Strength Log'!$H$5:$H$220,"&lt;&gt;")</f>
        <v>0</v>
      </c>
      <c r="I50" s="17"/>
    </row>
    <row r="51" customFormat="false" ht="15" hidden="false" customHeight="false" outlineLevel="0" collapsed="false">
      <c r="A51" s="7" t="n">
        <v>7</v>
      </c>
      <c r="B51" s="11" t="n">
        <f aca="false">Settings!$B$4+(A51-1)*7+4</f>
        <v>46255</v>
      </c>
      <c r="C51" s="5" t="str">
        <f aca="false">TEXT(B51,"dddd")</f>
        <v>Friday</v>
      </c>
      <c r="D51" s="5" t="s">
        <v>68</v>
      </c>
      <c r="E51" s="7"/>
      <c r="F51" s="7"/>
      <c r="G51" s="12" t="str">
        <f aca="false">IFERROR(F51/E51,"")</f>
        <v/>
      </c>
      <c r="H51" s="13" t="n">
        <f aca="false">COUNTIFS('Strength Log'!$B$5:$B$220,B51,'Strength Log'!$H$5:$H$220,"&lt;&gt;")</f>
        <v>0</v>
      </c>
    </row>
    <row r="52" customFormat="false" ht="15" hidden="false" customHeight="false" outlineLevel="0" collapsed="false">
      <c r="A52" s="10" t="n">
        <v>7</v>
      </c>
      <c r="B52" s="14" t="n">
        <f aca="false">Settings!$B$4+(A52-1)*7+5</f>
        <v>46256</v>
      </c>
      <c r="C52" s="9" t="str">
        <f aca="false">TEXT(B52,"dddd")</f>
        <v>Saturday</v>
      </c>
      <c r="D52" s="9" t="s">
        <v>69</v>
      </c>
      <c r="E52" s="10"/>
      <c r="F52" s="10"/>
      <c r="G52" s="15" t="str">
        <f aca="false">IFERROR(F52/E52,"")</f>
        <v/>
      </c>
      <c r="H52" s="16" t="n">
        <f aca="false">COUNTIFS('Strength Log'!$B$5:$B$220,B52,'Strength Log'!$H$5:$H$220,"&lt;&gt;")</f>
        <v>0</v>
      </c>
      <c r="I52" s="17"/>
    </row>
    <row r="53" customFormat="false" ht="15" hidden="false" customHeight="false" outlineLevel="0" collapsed="false">
      <c r="A53" s="7" t="n">
        <v>7</v>
      </c>
      <c r="B53" s="11" t="n">
        <f aca="false">Settings!$B$4+(A53-1)*7+6</f>
        <v>46257</v>
      </c>
      <c r="C53" s="5" t="str">
        <f aca="false">TEXT(B53,"dddd")</f>
        <v>Sunday</v>
      </c>
      <c r="D53" s="5" t="s">
        <v>70</v>
      </c>
      <c r="E53" s="7"/>
      <c r="F53" s="7"/>
      <c r="G53" s="12" t="str">
        <f aca="false">IFERROR(F53/E53,"")</f>
        <v/>
      </c>
      <c r="H53" s="13" t="n">
        <f aca="false">COUNTIFS('Strength Log'!$B$5:$B$220,B53,'Strength Log'!$H$5:$H$220,"&lt;&gt;")</f>
        <v>0</v>
      </c>
    </row>
    <row r="54" customFormat="false" ht="15" hidden="false" customHeight="false" outlineLevel="0" collapsed="false">
      <c r="A54" s="10" t="n">
        <v>8</v>
      </c>
      <c r="B54" s="14" t="n">
        <f aca="false">Settings!$B$4+(A54-1)*7+0</f>
        <v>46258</v>
      </c>
      <c r="C54" s="9" t="str">
        <f aca="false">TEXT(B54,"dddd")</f>
        <v>Monday</v>
      </c>
      <c r="D54" s="9" t="s">
        <v>64</v>
      </c>
      <c r="E54" s="10"/>
      <c r="F54" s="10"/>
      <c r="G54" s="15" t="str">
        <f aca="false">IFERROR(F54/E54,"")</f>
        <v/>
      </c>
      <c r="H54" s="16" t="n">
        <f aca="false">COUNTIFS('Strength Log'!$B$5:$B$220,B54,'Strength Log'!$H$5:$H$220,"&lt;&gt;")</f>
        <v>0</v>
      </c>
      <c r="I54" s="17"/>
    </row>
    <row r="55" customFormat="false" ht="15" hidden="false" customHeight="false" outlineLevel="0" collapsed="false">
      <c r="A55" s="7" t="n">
        <v>8</v>
      </c>
      <c r="B55" s="11" t="n">
        <f aca="false">Settings!$B$4+(A55-1)*7+1</f>
        <v>46259</v>
      </c>
      <c r="C55" s="5" t="str">
        <f aca="false">TEXT(B55,"dddd")</f>
        <v>Tuesday</v>
      </c>
      <c r="D55" s="5" t="s">
        <v>65</v>
      </c>
      <c r="E55" s="7"/>
      <c r="F55" s="7"/>
      <c r="G55" s="12" t="str">
        <f aca="false">IFERROR(F55/E55,"")</f>
        <v/>
      </c>
      <c r="H55" s="13" t="n">
        <f aca="false">COUNTIFS('Strength Log'!$B$5:$B$220,B55,'Strength Log'!$H$5:$H$220,"&lt;&gt;")</f>
        <v>0</v>
      </c>
    </row>
    <row r="56" customFormat="false" ht="15" hidden="false" customHeight="false" outlineLevel="0" collapsed="false">
      <c r="A56" s="10" t="n">
        <v>8</v>
      </c>
      <c r="B56" s="14" t="n">
        <f aca="false">Settings!$B$4+(A56-1)*7+2</f>
        <v>46260</v>
      </c>
      <c r="C56" s="9" t="str">
        <f aca="false">TEXT(B56,"dddd")</f>
        <v>Wednesday</v>
      </c>
      <c r="D56" s="9" t="s">
        <v>66</v>
      </c>
      <c r="E56" s="10"/>
      <c r="F56" s="10"/>
      <c r="G56" s="15" t="str">
        <f aca="false">IFERROR(F56/E56,"")</f>
        <v/>
      </c>
      <c r="H56" s="16" t="n">
        <f aca="false">COUNTIFS('Strength Log'!$B$5:$B$220,B56,'Strength Log'!$H$5:$H$220,"&lt;&gt;")</f>
        <v>0</v>
      </c>
      <c r="I56" s="17"/>
    </row>
    <row r="57" customFormat="false" ht="15" hidden="false" customHeight="false" outlineLevel="0" collapsed="false">
      <c r="A57" s="7" t="n">
        <v>8</v>
      </c>
      <c r="B57" s="11" t="n">
        <f aca="false">Settings!$B$4+(A57-1)*7+3</f>
        <v>46261</v>
      </c>
      <c r="C57" s="5" t="str">
        <f aca="false">TEXT(B57,"dddd")</f>
        <v>Thursday</v>
      </c>
      <c r="D57" s="5" t="s">
        <v>67</v>
      </c>
      <c r="E57" s="7"/>
      <c r="F57" s="7"/>
      <c r="G57" s="12" t="str">
        <f aca="false">IFERROR(F57/E57,"")</f>
        <v/>
      </c>
      <c r="H57" s="13" t="n">
        <f aca="false">COUNTIFS('Strength Log'!$B$5:$B$220,B57,'Strength Log'!$H$5:$H$220,"&lt;&gt;")</f>
        <v>0</v>
      </c>
    </row>
    <row r="58" customFormat="false" ht="15" hidden="false" customHeight="false" outlineLevel="0" collapsed="false">
      <c r="A58" s="10" t="n">
        <v>8</v>
      </c>
      <c r="B58" s="14" t="n">
        <f aca="false">Settings!$B$4+(A58-1)*7+4</f>
        <v>46262</v>
      </c>
      <c r="C58" s="9" t="str">
        <f aca="false">TEXT(B58,"dddd")</f>
        <v>Friday</v>
      </c>
      <c r="D58" s="9" t="s">
        <v>68</v>
      </c>
      <c r="E58" s="10"/>
      <c r="F58" s="10"/>
      <c r="G58" s="15" t="str">
        <f aca="false">IFERROR(F58/E58,"")</f>
        <v/>
      </c>
      <c r="H58" s="16" t="n">
        <f aca="false">COUNTIFS('Strength Log'!$B$5:$B$220,B58,'Strength Log'!$H$5:$H$220,"&lt;&gt;")</f>
        <v>0</v>
      </c>
      <c r="I58" s="17"/>
    </row>
    <row r="59" customFormat="false" ht="15" hidden="false" customHeight="false" outlineLevel="0" collapsed="false">
      <c r="A59" s="7" t="n">
        <v>8</v>
      </c>
      <c r="B59" s="11" t="n">
        <f aca="false">Settings!$B$4+(A59-1)*7+5</f>
        <v>46263</v>
      </c>
      <c r="C59" s="5" t="str">
        <f aca="false">TEXT(B59,"dddd")</f>
        <v>Saturday</v>
      </c>
      <c r="D59" s="5" t="s">
        <v>69</v>
      </c>
      <c r="E59" s="7"/>
      <c r="F59" s="7"/>
      <c r="G59" s="12" t="str">
        <f aca="false">IFERROR(F59/E59,"")</f>
        <v/>
      </c>
      <c r="H59" s="13" t="n">
        <f aca="false">COUNTIFS('Strength Log'!$B$5:$B$220,B59,'Strength Log'!$H$5:$H$220,"&lt;&gt;")</f>
        <v>0</v>
      </c>
    </row>
    <row r="60" customFormat="false" ht="15" hidden="false" customHeight="false" outlineLevel="0" collapsed="false">
      <c r="A60" s="10" t="n">
        <v>8</v>
      </c>
      <c r="B60" s="14" t="n">
        <f aca="false">Settings!$B$4+(A60-1)*7+6</f>
        <v>46264</v>
      </c>
      <c r="C60" s="9" t="str">
        <f aca="false">TEXT(B60,"dddd")</f>
        <v>Sunday</v>
      </c>
      <c r="D60" s="9" t="s">
        <v>70</v>
      </c>
      <c r="E60" s="10"/>
      <c r="F60" s="10"/>
      <c r="G60" s="15" t="str">
        <f aca="false">IFERROR(F60/E60,"")</f>
        <v/>
      </c>
      <c r="H60" s="16" t="n">
        <f aca="false">COUNTIFS('Strength Log'!$B$5:$B$220,B60,'Strength Log'!$H$5:$H$220,"&lt;&gt;")</f>
        <v>0</v>
      </c>
      <c r="I60" s="17"/>
    </row>
    <row r="61" customFormat="false" ht="15" hidden="false" customHeight="false" outlineLevel="0" collapsed="false">
      <c r="A61" s="7" t="n">
        <v>9</v>
      </c>
      <c r="B61" s="11" t="n">
        <f aca="false">Settings!$B$4+(A61-1)*7+0</f>
        <v>46265</v>
      </c>
      <c r="C61" s="5" t="str">
        <f aca="false">TEXT(B61,"dddd")</f>
        <v>Monday</v>
      </c>
      <c r="D61" s="5" t="s">
        <v>64</v>
      </c>
      <c r="E61" s="7"/>
      <c r="F61" s="7"/>
      <c r="G61" s="12" t="str">
        <f aca="false">IFERROR(F61/E61,"")</f>
        <v/>
      </c>
      <c r="H61" s="13" t="n">
        <f aca="false">COUNTIFS('Strength Log'!$B$5:$B$220,B61,'Strength Log'!$H$5:$H$220,"&lt;&gt;")</f>
        <v>0</v>
      </c>
    </row>
    <row r="62" customFormat="false" ht="15" hidden="false" customHeight="false" outlineLevel="0" collapsed="false">
      <c r="A62" s="10" t="n">
        <v>9</v>
      </c>
      <c r="B62" s="14" t="n">
        <f aca="false">Settings!$B$4+(A62-1)*7+1</f>
        <v>46266</v>
      </c>
      <c r="C62" s="9" t="str">
        <f aca="false">TEXT(B62,"dddd")</f>
        <v>Tuesday</v>
      </c>
      <c r="D62" s="9" t="s">
        <v>65</v>
      </c>
      <c r="E62" s="10"/>
      <c r="F62" s="10"/>
      <c r="G62" s="15" t="str">
        <f aca="false">IFERROR(F62/E62,"")</f>
        <v/>
      </c>
      <c r="H62" s="16" t="n">
        <f aca="false">COUNTIFS('Strength Log'!$B$5:$B$220,B62,'Strength Log'!$H$5:$H$220,"&lt;&gt;")</f>
        <v>0</v>
      </c>
      <c r="I62" s="17"/>
    </row>
    <row r="63" customFormat="false" ht="15" hidden="false" customHeight="false" outlineLevel="0" collapsed="false">
      <c r="A63" s="7" t="n">
        <v>9</v>
      </c>
      <c r="B63" s="11" t="n">
        <f aca="false">Settings!$B$4+(A63-1)*7+2</f>
        <v>46267</v>
      </c>
      <c r="C63" s="5" t="str">
        <f aca="false">TEXT(B63,"dddd")</f>
        <v>Wednesday</v>
      </c>
      <c r="D63" s="5" t="s">
        <v>66</v>
      </c>
      <c r="E63" s="7"/>
      <c r="F63" s="7"/>
      <c r="G63" s="12" t="str">
        <f aca="false">IFERROR(F63/E63,"")</f>
        <v/>
      </c>
      <c r="H63" s="13" t="n">
        <f aca="false">COUNTIFS('Strength Log'!$B$5:$B$220,B63,'Strength Log'!$H$5:$H$220,"&lt;&gt;")</f>
        <v>0</v>
      </c>
    </row>
    <row r="64" customFormat="false" ht="15" hidden="false" customHeight="false" outlineLevel="0" collapsed="false">
      <c r="A64" s="10" t="n">
        <v>9</v>
      </c>
      <c r="B64" s="14" t="n">
        <f aca="false">Settings!$B$4+(A64-1)*7+3</f>
        <v>46268</v>
      </c>
      <c r="C64" s="9" t="str">
        <f aca="false">TEXT(B64,"dddd")</f>
        <v>Thursday</v>
      </c>
      <c r="D64" s="9" t="s">
        <v>67</v>
      </c>
      <c r="E64" s="10"/>
      <c r="F64" s="10"/>
      <c r="G64" s="15" t="str">
        <f aca="false">IFERROR(F64/E64,"")</f>
        <v/>
      </c>
      <c r="H64" s="16" t="n">
        <f aca="false">COUNTIFS('Strength Log'!$B$5:$B$220,B64,'Strength Log'!$H$5:$H$220,"&lt;&gt;")</f>
        <v>0</v>
      </c>
      <c r="I64" s="17"/>
    </row>
    <row r="65" customFormat="false" ht="15" hidden="false" customHeight="false" outlineLevel="0" collapsed="false">
      <c r="A65" s="7" t="n">
        <v>9</v>
      </c>
      <c r="B65" s="11" t="n">
        <f aca="false">Settings!$B$4+(A65-1)*7+4</f>
        <v>46269</v>
      </c>
      <c r="C65" s="5" t="str">
        <f aca="false">TEXT(B65,"dddd")</f>
        <v>Friday</v>
      </c>
      <c r="D65" s="5" t="s">
        <v>68</v>
      </c>
      <c r="E65" s="7"/>
      <c r="F65" s="7"/>
      <c r="G65" s="12" t="str">
        <f aca="false">IFERROR(F65/E65,"")</f>
        <v/>
      </c>
      <c r="H65" s="13" t="n">
        <f aca="false">COUNTIFS('Strength Log'!$B$5:$B$220,B65,'Strength Log'!$H$5:$H$220,"&lt;&gt;")</f>
        <v>0</v>
      </c>
    </row>
    <row r="66" customFormat="false" ht="15" hidden="false" customHeight="false" outlineLevel="0" collapsed="false">
      <c r="A66" s="10" t="n">
        <v>9</v>
      </c>
      <c r="B66" s="14" t="n">
        <f aca="false">Settings!$B$4+(A66-1)*7+5</f>
        <v>46270</v>
      </c>
      <c r="C66" s="9" t="str">
        <f aca="false">TEXT(B66,"dddd")</f>
        <v>Saturday</v>
      </c>
      <c r="D66" s="9" t="s">
        <v>69</v>
      </c>
      <c r="E66" s="10"/>
      <c r="F66" s="10"/>
      <c r="G66" s="15" t="str">
        <f aca="false">IFERROR(F66/E66,"")</f>
        <v/>
      </c>
      <c r="H66" s="16" t="n">
        <f aca="false">COUNTIFS('Strength Log'!$B$5:$B$220,B66,'Strength Log'!$H$5:$H$220,"&lt;&gt;")</f>
        <v>0</v>
      </c>
      <c r="I66" s="17"/>
    </row>
    <row r="67" customFormat="false" ht="15" hidden="false" customHeight="false" outlineLevel="0" collapsed="false">
      <c r="A67" s="7" t="n">
        <v>9</v>
      </c>
      <c r="B67" s="11" t="n">
        <f aca="false">Settings!$B$4+(A67-1)*7+6</f>
        <v>46271</v>
      </c>
      <c r="C67" s="5" t="str">
        <f aca="false">TEXT(B67,"dddd")</f>
        <v>Sunday</v>
      </c>
      <c r="D67" s="5" t="s">
        <v>70</v>
      </c>
      <c r="E67" s="7"/>
      <c r="F67" s="7"/>
      <c r="G67" s="12" t="str">
        <f aca="false">IFERROR(F67/E67,"")</f>
        <v/>
      </c>
      <c r="H67" s="13" t="n">
        <f aca="false">COUNTIFS('Strength Log'!$B$5:$B$220,B67,'Strength Log'!$H$5:$H$220,"&lt;&gt;")</f>
        <v>0</v>
      </c>
    </row>
    <row r="68" customFormat="false" ht="15" hidden="false" customHeight="false" outlineLevel="0" collapsed="false">
      <c r="A68" s="10" t="n">
        <v>10</v>
      </c>
      <c r="B68" s="14" t="n">
        <f aca="false">Settings!$B$4+(A68-1)*7+0</f>
        <v>46272</v>
      </c>
      <c r="C68" s="9" t="str">
        <f aca="false">TEXT(B68,"dddd")</f>
        <v>Monday</v>
      </c>
      <c r="D68" s="9" t="s">
        <v>64</v>
      </c>
      <c r="E68" s="10"/>
      <c r="F68" s="10"/>
      <c r="G68" s="15" t="str">
        <f aca="false">IFERROR(F68/E68,"")</f>
        <v/>
      </c>
      <c r="H68" s="16" t="n">
        <f aca="false">COUNTIFS('Strength Log'!$B$5:$B$220,B68,'Strength Log'!$H$5:$H$220,"&lt;&gt;")</f>
        <v>0</v>
      </c>
      <c r="I68" s="17"/>
    </row>
    <row r="69" customFormat="false" ht="15" hidden="false" customHeight="false" outlineLevel="0" collapsed="false">
      <c r="A69" s="7" t="n">
        <v>10</v>
      </c>
      <c r="B69" s="11" t="n">
        <f aca="false">Settings!$B$4+(A69-1)*7+1</f>
        <v>46273</v>
      </c>
      <c r="C69" s="5" t="str">
        <f aca="false">TEXT(B69,"dddd")</f>
        <v>Tuesday</v>
      </c>
      <c r="D69" s="5" t="s">
        <v>65</v>
      </c>
      <c r="E69" s="7"/>
      <c r="F69" s="7"/>
      <c r="G69" s="12" t="str">
        <f aca="false">IFERROR(F69/E69,"")</f>
        <v/>
      </c>
      <c r="H69" s="13" t="n">
        <f aca="false">COUNTIFS('Strength Log'!$B$5:$B$220,B69,'Strength Log'!$H$5:$H$220,"&lt;&gt;")</f>
        <v>0</v>
      </c>
    </row>
    <row r="70" customFormat="false" ht="15" hidden="false" customHeight="false" outlineLevel="0" collapsed="false">
      <c r="A70" s="10" t="n">
        <v>10</v>
      </c>
      <c r="B70" s="14" t="n">
        <f aca="false">Settings!$B$4+(A70-1)*7+2</f>
        <v>46274</v>
      </c>
      <c r="C70" s="9" t="str">
        <f aca="false">TEXT(B70,"dddd")</f>
        <v>Wednesday</v>
      </c>
      <c r="D70" s="9" t="s">
        <v>66</v>
      </c>
      <c r="E70" s="10"/>
      <c r="F70" s="10"/>
      <c r="G70" s="15" t="str">
        <f aca="false">IFERROR(F70/E70,"")</f>
        <v/>
      </c>
      <c r="H70" s="16" t="n">
        <f aca="false">COUNTIFS('Strength Log'!$B$5:$B$220,B70,'Strength Log'!$H$5:$H$220,"&lt;&gt;")</f>
        <v>0</v>
      </c>
      <c r="I70" s="17"/>
    </row>
    <row r="71" customFormat="false" ht="15" hidden="false" customHeight="false" outlineLevel="0" collapsed="false">
      <c r="A71" s="7" t="n">
        <v>10</v>
      </c>
      <c r="B71" s="11" t="n">
        <f aca="false">Settings!$B$4+(A71-1)*7+3</f>
        <v>46275</v>
      </c>
      <c r="C71" s="5" t="str">
        <f aca="false">TEXT(B71,"dddd")</f>
        <v>Thursday</v>
      </c>
      <c r="D71" s="5" t="s">
        <v>67</v>
      </c>
      <c r="E71" s="7"/>
      <c r="F71" s="7"/>
      <c r="G71" s="12" t="str">
        <f aca="false">IFERROR(F71/E71,"")</f>
        <v/>
      </c>
      <c r="H71" s="13" t="n">
        <f aca="false">COUNTIFS('Strength Log'!$B$5:$B$220,B71,'Strength Log'!$H$5:$H$220,"&lt;&gt;")</f>
        <v>0</v>
      </c>
    </row>
    <row r="72" customFormat="false" ht="15" hidden="false" customHeight="false" outlineLevel="0" collapsed="false">
      <c r="A72" s="10" t="n">
        <v>10</v>
      </c>
      <c r="B72" s="14" t="n">
        <f aca="false">Settings!$B$4+(A72-1)*7+4</f>
        <v>46276</v>
      </c>
      <c r="C72" s="9" t="str">
        <f aca="false">TEXT(B72,"dddd")</f>
        <v>Friday</v>
      </c>
      <c r="D72" s="9" t="s">
        <v>68</v>
      </c>
      <c r="E72" s="10"/>
      <c r="F72" s="10"/>
      <c r="G72" s="15" t="str">
        <f aca="false">IFERROR(F72/E72,"")</f>
        <v/>
      </c>
      <c r="H72" s="16" t="n">
        <f aca="false">COUNTIFS('Strength Log'!$B$5:$B$220,B72,'Strength Log'!$H$5:$H$220,"&lt;&gt;")</f>
        <v>0</v>
      </c>
      <c r="I72" s="17"/>
    </row>
    <row r="73" customFormat="false" ht="15" hidden="false" customHeight="false" outlineLevel="0" collapsed="false">
      <c r="A73" s="7" t="n">
        <v>10</v>
      </c>
      <c r="B73" s="11" t="n">
        <f aca="false">Settings!$B$4+(A73-1)*7+5</f>
        <v>46277</v>
      </c>
      <c r="C73" s="5" t="str">
        <f aca="false">TEXT(B73,"dddd")</f>
        <v>Saturday</v>
      </c>
      <c r="D73" s="5" t="s">
        <v>69</v>
      </c>
      <c r="E73" s="7"/>
      <c r="F73" s="7"/>
      <c r="G73" s="12" t="str">
        <f aca="false">IFERROR(F73/E73,"")</f>
        <v/>
      </c>
      <c r="H73" s="13" t="n">
        <f aca="false">COUNTIFS('Strength Log'!$B$5:$B$220,B73,'Strength Log'!$H$5:$H$220,"&lt;&gt;")</f>
        <v>0</v>
      </c>
    </row>
    <row r="74" customFormat="false" ht="15" hidden="false" customHeight="false" outlineLevel="0" collapsed="false">
      <c r="A74" s="10" t="n">
        <v>10</v>
      </c>
      <c r="B74" s="14" t="n">
        <f aca="false">Settings!$B$4+(A74-1)*7+6</f>
        <v>46278</v>
      </c>
      <c r="C74" s="9" t="str">
        <f aca="false">TEXT(B74,"dddd")</f>
        <v>Sunday</v>
      </c>
      <c r="D74" s="9" t="s">
        <v>70</v>
      </c>
      <c r="E74" s="10"/>
      <c r="F74" s="10"/>
      <c r="G74" s="15" t="str">
        <f aca="false">IFERROR(F74/E74,"")</f>
        <v/>
      </c>
      <c r="H74" s="16" t="n">
        <f aca="false">COUNTIFS('Strength Log'!$B$5:$B$220,B74,'Strength Log'!$H$5:$H$220,"&lt;&gt;")</f>
        <v>0</v>
      </c>
      <c r="I74" s="17"/>
    </row>
    <row r="75" customFormat="false" ht="15" hidden="false" customHeight="false" outlineLevel="0" collapsed="false">
      <c r="A75" s="7" t="n">
        <v>11</v>
      </c>
      <c r="B75" s="11" t="n">
        <f aca="false">Settings!$B$4+(A75-1)*7+0</f>
        <v>46279</v>
      </c>
      <c r="C75" s="5" t="str">
        <f aca="false">TEXT(B75,"dddd")</f>
        <v>Monday</v>
      </c>
      <c r="D75" s="5" t="s">
        <v>64</v>
      </c>
      <c r="E75" s="7"/>
      <c r="F75" s="7"/>
      <c r="G75" s="12" t="str">
        <f aca="false">IFERROR(F75/E75,"")</f>
        <v/>
      </c>
      <c r="H75" s="13" t="n">
        <f aca="false">COUNTIFS('Strength Log'!$B$5:$B$220,B75,'Strength Log'!$H$5:$H$220,"&lt;&gt;")</f>
        <v>0</v>
      </c>
    </row>
    <row r="76" customFormat="false" ht="15" hidden="false" customHeight="false" outlineLevel="0" collapsed="false">
      <c r="A76" s="10" t="n">
        <v>11</v>
      </c>
      <c r="B76" s="14" t="n">
        <f aca="false">Settings!$B$4+(A76-1)*7+1</f>
        <v>46280</v>
      </c>
      <c r="C76" s="9" t="str">
        <f aca="false">TEXT(B76,"dddd")</f>
        <v>Tuesday</v>
      </c>
      <c r="D76" s="9" t="s">
        <v>65</v>
      </c>
      <c r="E76" s="10"/>
      <c r="F76" s="10"/>
      <c r="G76" s="15" t="str">
        <f aca="false">IFERROR(F76/E76,"")</f>
        <v/>
      </c>
      <c r="H76" s="16" t="n">
        <f aca="false">COUNTIFS('Strength Log'!$B$5:$B$220,B76,'Strength Log'!$H$5:$H$220,"&lt;&gt;")</f>
        <v>0</v>
      </c>
      <c r="I76" s="17"/>
    </row>
    <row r="77" customFormat="false" ht="15" hidden="false" customHeight="false" outlineLevel="0" collapsed="false">
      <c r="A77" s="7" t="n">
        <v>11</v>
      </c>
      <c r="B77" s="11" t="n">
        <f aca="false">Settings!$B$4+(A77-1)*7+2</f>
        <v>46281</v>
      </c>
      <c r="C77" s="5" t="str">
        <f aca="false">TEXT(B77,"dddd")</f>
        <v>Wednesday</v>
      </c>
      <c r="D77" s="5" t="s">
        <v>66</v>
      </c>
      <c r="E77" s="7"/>
      <c r="F77" s="7"/>
      <c r="G77" s="12" t="str">
        <f aca="false">IFERROR(F77/E77,"")</f>
        <v/>
      </c>
      <c r="H77" s="13" t="n">
        <f aca="false">COUNTIFS('Strength Log'!$B$5:$B$220,B77,'Strength Log'!$H$5:$H$220,"&lt;&gt;")</f>
        <v>0</v>
      </c>
    </row>
    <row r="78" customFormat="false" ht="15" hidden="false" customHeight="false" outlineLevel="0" collapsed="false">
      <c r="A78" s="10" t="n">
        <v>11</v>
      </c>
      <c r="B78" s="14" t="n">
        <f aca="false">Settings!$B$4+(A78-1)*7+3</f>
        <v>46282</v>
      </c>
      <c r="C78" s="9" t="str">
        <f aca="false">TEXT(B78,"dddd")</f>
        <v>Thursday</v>
      </c>
      <c r="D78" s="9" t="s">
        <v>67</v>
      </c>
      <c r="E78" s="10"/>
      <c r="F78" s="10"/>
      <c r="G78" s="15" t="str">
        <f aca="false">IFERROR(F78/E78,"")</f>
        <v/>
      </c>
      <c r="H78" s="16" t="n">
        <f aca="false">COUNTIFS('Strength Log'!$B$5:$B$220,B78,'Strength Log'!$H$5:$H$220,"&lt;&gt;")</f>
        <v>0</v>
      </c>
      <c r="I78" s="17"/>
    </row>
    <row r="79" customFormat="false" ht="15" hidden="false" customHeight="false" outlineLevel="0" collapsed="false">
      <c r="A79" s="7" t="n">
        <v>11</v>
      </c>
      <c r="B79" s="11" t="n">
        <f aca="false">Settings!$B$4+(A79-1)*7+4</f>
        <v>46283</v>
      </c>
      <c r="C79" s="5" t="str">
        <f aca="false">TEXT(B79,"dddd")</f>
        <v>Friday</v>
      </c>
      <c r="D79" s="5" t="s">
        <v>68</v>
      </c>
      <c r="E79" s="7"/>
      <c r="F79" s="7"/>
      <c r="G79" s="12" t="str">
        <f aca="false">IFERROR(F79/E79,"")</f>
        <v/>
      </c>
      <c r="H79" s="13" t="n">
        <f aca="false">COUNTIFS('Strength Log'!$B$5:$B$220,B79,'Strength Log'!$H$5:$H$220,"&lt;&gt;")</f>
        <v>0</v>
      </c>
    </row>
    <row r="80" customFormat="false" ht="15" hidden="false" customHeight="false" outlineLevel="0" collapsed="false">
      <c r="A80" s="10" t="n">
        <v>11</v>
      </c>
      <c r="B80" s="14" t="n">
        <f aca="false">Settings!$B$4+(A80-1)*7+5</f>
        <v>46284</v>
      </c>
      <c r="C80" s="9" t="str">
        <f aca="false">TEXT(B80,"dddd")</f>
        <v>Saturday</v>
      </c>
      <c r="D80" s="9" t="s">
        <v>69</v>
      </c>
      <c r="E80" s="10"/>
      <c r="F80" s="10"/>
      <c r="G80" s="15" t="str">
        <f aca="false">IFERROR(F80/E80,"")</f>
        <v/>
      </c>
      <c r="H80" s="16" t="n">
        <f aca="false">COUNTIFS('Strength Log'!$B$5:$B$220,B80,'Strength Log'!$H$5:$H$220,"&lt;&gt;")</f>
        <v>0</v>
      </c>
      <c r="I80" s="17"/>
    </row>
    <row r="81" customFormat="false" ht="15" hidden="false" customHeight="false" outlineLevel="0" collapsed="false">
      <c r="A81" s="7" t="n">
        <v>11</v>
      </c>
      <c r="B81" s="11" t="n">
        <f aca="false">Settings!$B$4+(A81-1)*7+6</f>
        <v>46285</v>
      </c>
      <c r="C81" s="5" t="str">
        <f aca="false">TEXT(B81,"dddd")</f>
        <v>Sunday</v>
      </c>
      <c r="D81" s="5" t="s">
        <v>70</v>
      </c>
      <c r="E81" s="7"/>
      <c r="F81" s="7"/>
      <c r="G81" s="12" t="str">
        <f aca="false">IFERROR(F81/E81,"")</f>
        <v/>
      </c>
      <c r="H81" s="13" t="n">
        <f aca="false">COUNTIFS('Strength Log'!$B$5:$B$220,B81,'Strength Log'!$H$5:$H$220,"&lt;&gt;")</f>
        <v>0</v>
      </c>
    </row>
    <row r="82" customFormat="false" ht="15" hidden="false" customHeight="false" outlineLevel="0" collapsed="false">
      <c r="A82" s="10" t="n">
        <v>12</v>
      </c>
      <c r="B82" s="14" t="n">
        <f aca="false">Settings!$B$4+(A82-1)*7+0</f>
        <v>46286</v>
      </c>
      <c r="C82" s="9" t="str">
        <f aca="false">TEXT(B82,"dddd")</f>
        <v>Monday</v>
      </c>
      <c r="D82" s="9" t="s">
        <v>64</v>
      </c>
      <c r="E82" s="10"/>
      <c r="F82" s="10"/>
      <c r="G82" s="15" t="str">
        <f aca="false">IFERROR(F82/E82,"")</f>
        <v/>
      </c>
      <c r="H82" s="16" t="n">
        <f aca="false">COUNTIFS('Strength Log'!$B$5:$B$220,B82,'Strength Log'!$H$5:$H$220,"&lt;&gt;")</f>
        <v>0</v>
      </c>
      <c r="I82" s="17"/>
    </row>
    <row r="83" customFormat="false" ht="15" hidden="false" customHeight="false" outlineLevel="0" collapsed="false">
      <c r="A83" s="7" t="n">
        <v>12</v>
      </c>
      <c r="B83" s="11" t="n">
        <f aca="false">Settings!$B$4+(A83-1)*7+1</f>
        <v>46287</v>
      </c>
      <c r="C83" s="5" t="str">
        <f aca="false">TEXT(B83,"dddd")</f>
        <v>Tuesday</v>
      </c>
      <c r="D83" s="5" t="s">
        <v>65</v>
      </c>
      <c r="E83" s="7"/>
      <c r="F83" s="7"/>
      <c r="G83" s="12" t="str">
        <f aca="false">IFERROR(F83/E83,"")</f>
        <v/>
      </c>
      <c r="H83" s="13" t="n">
        <f aca="false">COUNTIFS('Strength Log'!$B$5:$B$220,B83,'Strength Log'!$H$5:$H$220,"&lt;&gt;")</f>
        <v>0</v>
      </c>
    </row>
    <row r="84" customFormat="false" ht="15" hidden="false" customHeight="false" outlineLevel="0" collapsed="false">
      <c r="A84" s="10" t="n">
        <v>12</v>
      </c>
      <c r="B84" s="14" t="n">
        <f aca="false">Settings!$B$4+(A84-1)*7+2</f>
        <v>46288</v>
      </c>
      <c r="C84" s="9" t="str">
        <f aca="false">TEXT(B84,"dddd")</f>
        <v>Wednesday</v>
      </c>
      <c r="D84" s="9" t="s">
        <v>66</v>
      </c>
      <c r="E84" s="10"/>
      <c r="F84" s="10"/>
      <c r="G84" s="15" t="str">
        <f aca="false">IFERROR(F84/E84,"")</f>
        <v/>
      </c>
      <c r="H84" s="16" t="n">
        <f aca="false">COUNTIFS('Strength Log'!$B$5:$B$220,B84,'Strength Log'!$H$5:$H$220,"&lt;&gt;")</f>
        <v>0</v>
      </c>
      <c r="I84" s="17"/>
    </row>
    <row r="85" customFormat="false" ht="15" hidden="false" customHeight="false" outlineLevel="0" collapsed="false">
      <c r="A85" s="7" t="n">
        <v>12</v>
      </c>
      <c r="B85" s="11" t="n">
        <f aca="false">Settings!$B$4+(A85-1)*7+3</f>
        <v>46289</v>
      </c>
      <c r="C85" s="5" t="str">
        <f aca="false">TEXT(B85,"dddd")</f>
        <v>Thursday</v>
      </c>
      <c r="D85" s="5" t="s">
        <v>67</v>
      </c>
      <c r="E85" s="7"/>
      <c r="F85" s="7"/>
      <c r="G85" s="12" t="str">
        <f aca="false">IFERROR(F85/E85,"")</f>
        <v/>
      </c>
      <c r="H85" s="13" t="n">
        <f aca="false">COUNTIFS('Strength Log'!$B$5:$B$220,B85,'Strength Log'!$H$5:$H$220,"&lt;&gt;")</f>
        <v>0</v>
      </c>
    </row>
    <row r="86" customFormat="false" ht="15" hidden="false" customHeight="false" outlineLevel="0" collapsed="false">
      <c r="A86" s="10" t="n">
        <v>12</v>
      </c>
      <c r="B86" s="14" t="n">
        <f aca="false">Settings!$B$4+(A86-1)*7+4</f>
        <v>46290</v>
      </c>
      <c r="C86" s="9" t="str">
        <f aca="false">TEXT(B86,"dddd")</f>
        <v>Friday</v>
      </c>
      <c r="D86" s="9" t="s">
        <v>68</v>
      </c>
      <c r="E86" s="10"/>
      <c r="F86" s="10"/>
      <c r="G86" s="15" t="str">
        <f aca="false">IFERROR(F86/E86,"")</f>
        <v/>
      </c>
      <c r="H86" s="16" t="n">
        <f aca="false">COUNTIFS('Strength Log'!$B$5:$B$220,B86,'Strength Log'!$H$5:$H$220,"&lt;&gt;")</f>
        <v>0</v>
      </c>
      <c r="I86" s="17"/>
    </row>
    <row r="87" customFormat="false" ht="15" hidden="false" customHeight="false" outlineLevel="0" collapsed="false">
      <c r="A87" s="7" t="n">
        <v>12</v>
      </c>
      <c r="B87" s="11" t="n">
        <f aca="false">Settings!$B$4+(A87-1)*7+5</f>
        <v>46291</v>
      </c>
      <c r="C87" s="5" t="str">
        <f aca="false">TEXT(B87,"dddd")</f>
        <v>Saturday</v>
      </c>
      <c r="D87" s="5" t="s">
        <v>69</v>
      </c>
      <c r="E87" s="7"/>
      <c r="F87" s="7"/>
      <c r="G87" s="12" t="str">
        <f aca="false">IFERROR(F87/E87,"")</f>
        <v/>
      </c>
      <c r="H87" s="13" t="n">
        <f aca="false">COUNTIFS('Strength Log'!$B$5:$B$220,B87,'Strength Log'!$H$5:$H$220,"&lt;&gt;")</f>
        <v>0</v>
      </c>
    </row>
    <row r="88" customFormat="false" ht="15" hidden="false" customHeight="false" outlineLevel="0" collapsed="false">
      <c r="A88" s="10" t="n">
        <v>12</v>
      </c>
      <c r="B88" s="14" t="n">
        <f aca="false">Settings!$B$4+(A88-1)*7+6</f>
        <v>46292</v>
      </c>
      <c r="C88" s="9" t="str">
        <f aca="false">TEXT(B88,"dddd")</f>
        <v>Sunday</v>
      </c>
      <c r="D88" s="9" t="s">
        <v>70</v>
      </c>
      <c r="E88" s="10"/>
      <c r="F88" s="10"/>
      <c r="G88" s="15" t="str">
        <f aca="false">IFERROR(F88/E88,"")</f>
        <v/>
      </c>
      <c r="H88" s="16" t="n">
        <f aca="false">COUNTIFS('Strength Log'!$B$5:$B$220,B88,'Strength Log'!$H$5:$H$220,"&lt;&gt;")</f>
        <v>0</v>
      </c>
      <c r="I88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26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4" t="s">
        <v>72</v>
      </c>
    </row>
    <row r="4" customFormat="false" ht="15" hidden="false" customHeight="false" outlineLevel="0" collapsed="false">
      <c r="A4" s="8" t="s">
        <v>55</v>
      </c>
      <c r="B4" s="8" t="s">
        <v>56</v>
      </c>
      <c r="C4" s="8" t="s">
        <v>57</v>
      </c>
      <c r="D4" s="8" t="s">
        <v>20</v>
      </c>
      <c r="E4" s="8" t="s">
        <v>21</v>
      </c>
      <c r="F4" s="8" t="s">
        <v>22</v>
      </c>
      <c r="G4" s="8" t="s">
        <v>23</v>
      </c>
      <c r="H4" s="8" t="s">
        <v>73</v>
      </c>
      <c r="I4" s="8" t="s">
        <v>74</v>
      </c>
      <c r="J4" s="8" t="s">
        <v>75</v>
      </c>
      <c r="K4" s="8" t="s">
        <v>63</v>
      </c>
    </row>
    <row r="5" customFormat="false" ht="15" hidden="false" customHeight="false" outlineLevel="0" collapsed="false">
      <c r="A5" s="7" t="n">
        <v>1</v>
      </c>
      <c r="B5" s="11" t="n">
        <f aca="false">Settings!$B$4+(A5-1)*7+0</f>
        <v>46209</v>
      </c>
      <c r="C5" s="5" t="str">
        <f aca="false">TEXT(B5,"dddd")</f>
        <v>Monday</v>
      </c>
      <c r="D5" s="5" t="s">
        <v>24</v>
      </c>
      <c r="E5" s="5" t="s">
        <v>25</v>
      </c>
      <c r="F5" s="13" t="n">
        <f aca="false">INDEX('Plan Reference'!$C$5:$C$22,MATCH(E5,'Plan Reference'!$B$5:$B$22,0))</f>
        <v>3</v>
      </c>
      <c r="G5" s="13" t="str">
        <f aca="false">INDEX('Plan Reference'!$D$5:$D$22,MATCH(E5,'Plan Reference'!$B$5:$B$22,0))</f>
        <v>12</v>
      </c>
      <c r="H5" s="7"/>
      <c r="I5" s="7"/>
      <c r="J5" s="7"/>
    </row>
    <row r="6" customFormat="false" ht="15" hidden="false" customHeight="false" outlineLevel="0" collapsed="false">
      <c r="A6" s="10" t="n">
        <v>1</v>
      </c>
      <c r="B6" s="14" t="n">
        <f aca="false">Settings!$B$4+(A6-1)*7+0</f>
        <v>46209</v>
      </c>
      <c r="C6" s="9" t="str">
        <f aca="false">TEXT(B6,"dddd")</f>
        <v>Monday</v>
      </c>
      <c r="D6" s="9" t="s">
        <v>24</v>
      </c>
      <c r="E6" s="9" t="s">
        <v>27</v>
      </c>
      <c r="F6" s="16" t="n">
        <f aca="false">INDEX('Plan Reference'!$C$5:$C$22,MATCH(E6,'Plan Reference'!$B$5:$B$22,0))</f>
        <v>3</v>
      </c>
      <c r="G6" s="16" t="str">
        <f aca="false">INDEX('Plan Reference'!$D$5:$D$22,MATCH(E6,'Plan Reference'!$B$5:$B$22,0))</f>
        <v>12</v>
      </c>
      <c r="H6" s="10"/>
      <c r="I6" s="10"/>
      <c r="J6" s="10"/>
      <c r="K6" s="17"/>
    </row>
    <row r="7" customFormat="false" ht="15" hidden="false" customHeight="false" outlineLevel="0" collapsed="false">
      <c r="A7" s="7" t="n">
        <v>1</v>
      </c>
      <c r="B7" s="11" t="n">
        <f aca="false">Settings!$B$4+(A7-1)*7+0</f>
        <v>46209</v>
      </c>
      <c r="C7" s="5" t="str">
        <f aca="false">TEXT(B7,"dddd")</f>
        <v>Monday</v>
      </c>
      <c r="D7" s="5" t="s">
        <v>24</v>
      </c>
      <c r="E7" s="5" t="s">
        <v>28</v>
      </c>
      <c r="F7" s="13" t="n">
        <f aca="false">INDEX('Plan Reference'!$C$5:$C$22,MATCH(E7,'Plan Reference'!$B$5:$B$22,0))</f>
        <v>3</v>
      </c>
      <c r="G7" s="13" t="str">
        <f aca="false">INDEX('Plan Reference'!$D$5:$D$22,MATCH(E7,'Plan Reference'!$B$5:$B$22,0))</f>
        <v>10/leg</v>
      </c>
      <c r="H7" s="7"/>
      <c r="I7" s="7"/>
      <c r="J7" s="7"/>
    </row>
    <row r="8" customFormat="false" ht="15" hidden="false" customHeight="false" outlineLevel="0" collapsed="false">
      <c r="A8" s="10" t="n">
        <v>1</v>
      </c>
      <c r="B8" s="14" t="n">
        <f aca="false">Settings!$B$4+(A8-1)*7+0</f>
        <v>46209</v>
      </c>
      <c r="C8" s="9" t="str">
        <f aca="false">TEXT(B8,"dddd")</f>
        <v>Monday</v>
      </c>
      <c r="D8" s="9" t="s">
        <v>24</v>
      </c>
      <c r="E8" s="9" t="s">
        <v>30</v>
      </c>
      <c r="F8" s="16" t="n">
        <f aca="false">INDEX('Plan Reference'!$C$5:$C$22,MATCH(E8,'Plan Reference'!$B$5:$B$22,0))</f>
        <v>3</v>
      </c>
      <c r="G8" s="16" t="str">
        <f aca="false">INDEX('Plan Reference'!$D$5:$D$22,MATCH(E8,'Plan Reference'!$B$5:$B$22,0))</f>
        <v>15</v>
      </c>
      <c r="H8" s="10"/>
      <c r="I8" s="10"/>
      <c r="J8" s="10"/>
      <c r="K8" s="17"/>
    </row>
    <row r="9" customFormat="false" ht="15" hidden="false" customHeight="false" outlineLevel="0" collapsed="false">
      <c r="A9" s="7" t="n">
        <v>1</v>
      </c>
      <c r="B9" s="11" t="n">
        <f aca="false">Settings!$B$4+(A9-1)*7+0</f>
        <v>46209</v>
      </c>
      <c r="C9" s="5" t="str">
        <f aca="false">TEXT(B9,"dddd")</f>
        <v>Monday</v>
      </c>
      <c r="D9" s="5" t="s">
        <v>24</v>
      </c>
      <c r="E9" s="5" t="s">
        <v>32</v>
      </c>
      <c r="F9" s="13" t="n">
        <f aca="false">INDEX('Plan Reference'!$C$5:$C$22,MATCH(E9,'Plan Reference'!$B$5:$B$22,0))</f>
        <v>3</v>
      </c>
      <c r="G9" s="13" t="str">
        <f aca="false">INDEX('Plan Reference'!$D$5:$D$22,MATCH(E9,'Plan Reference'!$B$5:$B$22,0))</f>
        <v>30-45 sec</v>
      </c>
      <c r="H9" s="7"/>
      <c r="I9" s="7"/>
      <c r="J9" s="7"/>
    </row>
    <row r="10" customFormat="false" ht="15" hidden="false" customHeight="false" outlineLevel="0" collapsed="false">
      <c r="A10" s="10" t="n">
        <v>1</v>
      </c>
      <c r="B10" s="14" t="n">
        <f aca="false">Settings!$B$4+(A10-1)*7+0</f>
        <v>46209</v>
      </c>
      <c r="C10" s="9" t="str">
        <f aca="false">TEXT(B10,"dddd")</f>
        <v>Monday</v>
      </c>
      <c r="D10" s="9" t="s">
        <v>24</v>
      </c>
      <c r="E10" s="9" t="s">
        <v>34</v>
      </c>
      <c r="F10" s="16" t="n">
        <f aca="false">INDEX('Plan Reference'!$C$5:$C$22,MATCH(E10,'Plan Reference'!$B$5:$B$22,0))</f>
        <v>3</v>
      </c>
      <c r="G10" s="16" t="str">
        <f aca="false">INDEX('Plan Reference'!$D$5:$D$22,MATCH(E10,'Plan Reference'!$B$5:$B$22,0))</f>
        <v>15</v>
      </c>
      <c r="H10" s="10"/>
      <c r="I10" s="10"/>
      <c r="J10" s="10"/>
      <c r="K10" s="17"/>
    </row>
    <row r="11" customFormat="false" ht="15" hidden="false" customHeight="false" outlineLevel="0" collapsed="false">
      <c r="A11" s="7" t="n">
        <v>1</v>
      </c>
      <c r="B11" s="11" t="n">
        <f aca="false">Settings!$B$4+(A11-1)*7+2</f>
        <v>46211</v>
      </c>
      <c r="C11" s="5" t="str">
        <f aca="false">TEXT(B11,"dddd")</f>
        <v>Wednesday</v>
      </c>
      <c r="D11" s="5" t="s">
        <v>35</v>
      </c>
      <c r="E11" s="5" t="s">
        <v>36</v>
      </c>
      <c r="F11" s="13" t="n">
        <f aca="false">INDEX('Plan Reference'!$C$5:$C$22,MATCH(E11,'Plan Reference'!$B$5:$B$22,0))</f>
        <v>3</v>
      </c>
      <c r="G11" s="13" t="str">
        <f aca="false">INDEX('Plan Reference'!$D$5:$D$22,MATCH(E11,'Plan Reference'!$B$5:$B$22,0))</f>
        <v>12</v>
      </c>
      <c r="H11" s="7"/>
      <c r="I11" s="7"/>
      <c r="J11" s="7"/>
    </row>
    <row r="12" customFormat="false" ht="15" hidden="false" customHeight="false" outlineLevel="0" collapsed="false">
      <c r="A12" s="10" t="n">
        <v>1</v>
      </c>
      <c r="B12" s="14" t="n">
        <f aca="false">Settings!$B$4+(A12-1)*7+2</f>
        <v>46211</v>
      </c>
      <c r="C12" s="9" t="str">
        <f aca="false">TEXT(B12,"dddd")</f>
        <v>Wednesday</v>
      </c>
      <c r="D12" s="9" t="s">
        <v>35</v>
      </c>
      <c r="E12" s="9" t="s">
        <v>37</v>
      </c>
      <c r="F12" s="16" t="n">
        <f aca="false">INDEX('Plan Reference'!$C$5:$C$22,MATCH(E12,'Plan Reference'!$B$5:$B$22,0))</f>
        <v>3</v>
      </c>
      <c r="G12" s="16" t="str">
        <f aca="false">INDEX('Plan Reference'!$D$5:$D$22,MATCH(E12,'Plan Reference'!$B$5:$B$22,0))</f>
        <v>12</v>
      </c>
      <c r="H12" s="10"/>
      <c r="I12" s="10"/>
      <c r="J12" s="10"/>
      <c r="K12" s="17"/>
    </row>
    <row r="13" customFormat="false" ht="15" hidden="false" customHeight="false" outlineLevel="0" collapsed="false">
      <c r="A13" s="7" t="n">
        <v>1</v>
      </c>
      <c r="B13" s="11" t="n">
        <f aca="false">Settings!$B$4+(A13-1)*7+2</f>
        <v>46211</v>
      </c>
      <c r="C13" s="5" t="str">
        <f aca="false">TEXT(B13,"dddd")</f>
        <v>Wednesday</v>
      </c>
      <c r="D13" s="5" t="s">
        <v>35</v>
      </c>
      <c r="E13" s="5" t="s">
        <v>38</v>
      </c>
      <c r="F13" s="13" t="n">
        <f aca="false">INDEX('Plan Reference'!$C$5:$C$22,MATCH(E13,'Plan Reference'!$B$5:$B$22,0))</f>
        <v>3</v>
      </c>
      <c r="G13" s="13" t="str">
        <f aca="false">INDEX('Plan Reference'!$D$5:$D$22,MATCH(E13,'Plan Reference'!$B$5:$B$22,0))</f>
        <v>12</v>
      </c>
      <c r="H13" s="7"/>
      <c r="I13" s="7"/>
      <c r="J13" s="7"/>
    </row>
    <row r="14" customFormat="false" ht="15" hidden="false" customHeight="false" outlineLevel="0" collapsed="false">
      <c r="A14" s="10" t="n">
        <v>1</v>
      </c>
      <c r="B14" s="14" t="n">
        <f aca="false">Settings!$B$4+(A14-1)*7+2</f>
        <v>46211</v>
      </c>
      <c r="C14" s="9" t="str">
        <f aca="false">TEXT(B14,"dddd")</f>
        <v>Wednesday</v>
      </c>
      <c r="D14" s="9" t="s">
        <v>35</v>
      </c>
      <c r="E14" s="9" t="s">
        <v>39</v>
      </c>
      <c r="F14" s="16" t="n">
        <f aca="false">INDEX('Plan Reference'!$C$5:$C$22,MATCH(E14,'Plan Reference'!$B$5:$B$22,0))</f>
        <v>3</v>
      </c>
      <c r="G14" s="16" t="str">
        <f aca="false">INDEX('Plan Reference'!$D$5:$D$22,MATCH(E14,'Plan Reference'!$B$5:$B$22,0))</f>
        <v>15</v>
      </c>
      <c r="H14" s="10"/>
      <c r="I14" s="10"/>
      <c r="J14" s="10"/>
      <c r="K14" s="17"/>
    </row>
    <row r="15" customFormat="false" ht="15" hidden="false" customHeight="false" outlineLevel="0" collapsed="false">
      <c r="A15" s="7" t="n">
        <v>1</v>
      </c>
      <c r="B15" s="11" t="n">
        <f aca="false">Settings!$B$4+(A15-1)*7+2</f>
        <v>46211</v>
      </c>
      <c r="C15" s="5" t="str">
        <f aca="false">TEXT(B15,"dddd")</f>
        <v>Wednesday</v>
      </c>
      <c r="D15" s="5" t="s">
        <v>35</v>
      </c>
      <c r="E15" s="5" t="s">
        <v>40</v>
      </c>
      <c r="F15" s="13" t="n">
        <f aca="false">INDEX('Plan Reference'!$C$5:$C$22,MATCH(E15,'Plan Reference'!$B$5:$B$22,0))</f>
        <v>3</v>
      </c>
      <c r="G15" s="13" t="str">
        <f aca="false">INDEX('Plan Reference'!$D$5:$D$22,MATCH(E15,'Plan Reference'!$B$5:$B$22,0))</f>
        <v>12</v>
      </c>
      <c r="H15" s="7"/>
      <c r="I15" s="7"/>
      <c r="J15" s="7"/>
    </row>
    <row r="16" customFormat="false" ht="15" hidden="false" customHeight="false" outlineLevel="0" collapsed="false">
      <c r="A16" s="10" t="n">
        <v>1</v>
      </c>
      <c r="B16" s="14" t="n">
        <f aca="false">Settings!$B$4+(A16-1)*7+2</f>
        <v>46211</v>
      </c>
      <c r="C16" s="9" t="str">
        <f aca="false">TEXT(B16,"dddd")</f>
        <v>Wednesday</v>
      </c>
      <c r="D16" s="9" t="s">
        <v>35</v>
      </c>
      <c r="E16" s="9" t="s">
        <v>41</v>
      </c>
      <c r="F16" s="16" t="n">
        <f aca="false">INDEX('Plan Reference'!$C$5:$C$22,MATCH(E16,'Plan Reference'!$B$5:$B$22,0))</f>
        <v>3</v>
      </c>
      <c r="G16" s="16" t="str">
        <f aca="false">INDEX('Plan Reference'!$D$5:$D$22,MATCH(E16,'Plan Reference'!$B$5:$B$22,0))</f>
        <v>12/side</v>
      </c>
      <c r="H16" s="10"/>
      <c r="I16" s="10"/>
      <c r="J16" s="10"/>
      <c r="K16" s="17"/>
    </row>
    <row r="17" customFormat="false" ht="15" hidden="false" customHeight="false" outlineLevel="0" collapsed="false">
      <c r="A17" s="7" t="n">
        <v>1</v>
      </c>
      <c r="B17" s="11" t="n">
        <f aca="false">Settings!$B$4+(A17-1)*7+4</f>
        <v>46213</v>
      </c>
      <c r="C17" s="5" t="str">
        <f aca="false">TEXT(B17,"dddd")</f>
        <v>Friday</v>
      </c>
      <c r="D17" s="5" t="s">
        <v>43</v>
      </c>
      <c r="E17" s="5" t="s">
        <v>44</v>
      </c>
      <c r="F17" s="13" t="n">
        <f aca="false">INDEX('Plan Reference'!$C$5:$C$22,MATCH(E17,'Plan Reference'!$B$5:$B$22,0))</f>
        <v>3</v>
      </c>
      <c r="G17" s="13" t="str">
        <f aca="false">INDEX('Plan Reference'!$D$5:$D$22,MATCH(E17,'Plan Reference'!$B$5:$B$22,0))</f>
        <v>12</v>
      </c>
      <c r="H17" s="7"/>
      <c r="I17" s="7"/>
      <c r="J17" s="7"/>
    </row>
    <row r="18" customFormat="false" ht="15" hidden="false" customHeight="false" outlineLevel="0" collapsed="false">
      <c r="A18" s="10" t="n">
        <v>1</v>
      </c>
      <c r="B18" s="14" t="n">
        <f aca="false">Settings!$B$4+(A18-1)*7+4</f>
        <v>46213</v>
      </c>
      <c r="C18" s="9" t="str">
        <f aca="false">TEXT(B18,"dddd")</f>
        <v>Friday</v>
      </c>
      <c r="D18" s="9" t="s">
        <v>43</v>
      </c>
      <c r="E18" s="9" t="s">
        <v>45</v>
      </c>
      <c r="F18" s="16" t="n">
        <f aca="false">INDEX('Plan Reference'!$C$5:$C$22,MATCH(E18,'Plan Reference'!$B$5:$B$22,0))</f>
        <v>3</v>
      </c>
      <c r="G18" s="16" t="str">
        <f aca="false">INDEX('Plan Reference'!$D$5:$D$22,MATCH(E18,'Plan Reference'!$B$5:$B$22,0))</f>
        <v>10/side</v>
      </c>
      <c r="H18" s="10"/>
      <c r="I18" s="10"/>
      <c r="J18" s="10"/>
      <c r="K18" s="17"/>
    </row>
    <row r="19" customFormat="false" ht="15" hidden="false" customHeight="false" outlineLevel="0" collapsed="false">
      <c r="A19" s="7" t="n">
        <v>1</v>
      </c>
      <c r="B19" s="11" t="n">
        <f aca="false">Settings!$B$4+(A19-1)*7+4</f>
        <v>46213</v>
      </c>
      <c r="C19" s="5" t="str">
        <f aca="false">TEXT(B19,"dddd")</f>
        <v>Friday</v>
      </c>
      <c r="D19" s="5" t="s">
        <v>43</v>
      </c>
      <c r="E19" s="5" t="s">
        <v>47</v>
      </c>
      <c r="F19" s="13" t="n">
        <f aca="false">INDEX('Plan Reference'!$C$5:$C$22,MATCH(E19,'Plan Reference'!$B$5:$B$22,0))</f>
        <v>3</v>
      </c>
      <c r="G19" s="13" t="str">
        <f aca="false">INDEX('Plan Reference'!$D$5:$D$22,MATCH(E19,'Plan Reference'!$B$5:$B$22,0))</f>
        <v>10/leg</v>
      </c>
      <c r="H19" s="7"/>
      <c r="I19" s="7"/>
      <c r="J19" s="7"/>
    </row>
    <row r="20" customFormat="false" ht="15" hidden="false" customHeight="false" outlineLevel="0" collapsed="false">
      <c r="A20" s="10" t="n">
        <v>1</v>
      </c>
      <c r="B20" s="14" t="n">
        <f aca="false">Settings!$B$4+(A20-1)*7+4</f>
        <v>46213</v>
      </c>
      <c r="C20" s="9" t="str">
        <f aca="false">TEXT(B20,"dddd")</f>
        <v>Friday</v>
      </c>
      <c r="D20" s="9" t="s">
        <v>43</v>
      </c>
      <c r="E20" s="9" t="s">
        <v>48</v>
      </c>
      <c r="F20" s="16" t="n">
        <f aca="false">INDEX('Plan Reference'!$C$5:$C$22,MATCH(E20,'Plan Reference'!$B$5:$B$22,0))</f>
        <v>3</v>
      </c>
      <c r="G20" s="16" t="str">
        <f aca="false">INDEX('Plan Reference'!$D$5:$D$22,MATCH(E20,'Plan Reference'!$B$5:$B$22,0))</f>
        <v>12/side</v>
      </c>
      <c r="H20" s="10"/>
      <c r="I20" s="10"/>
      <c r="J20" s="10"/>
      <c r="K20" s="17"/>
    </row>
    <row r="21" customFormat="false" ht="15" hidden="false" customHeight="false" outlineLevel="0" collapsed="false">
      <c r="A21" s="7" t="n">
        <v>1</v>
      </c>
      <c r="B21" s="11" t="n">
        <f aca="false">Settings!$B$4+(A21-1)*7+4</f>
        <v>46213</v>
      </c>
      <c r="C21" s="5" t="str">
        <f aca="false">TEXT(B21,"dddd")</f>
        <v>Friday</v>
      </c>
      <c r="D21" s="5" t="s">
        <v>43</v>
      </c>
      <c r="E21" s="5" t="s">
        <v>49</v>
      </c>
      <c r="F21" s="13" t="n">
        <f aca="false">INDEX('Plan Reference'!$C$5:$C$22,MATCH(E21,'Plan Reference'!$B$5:$B$22,0))</f>
        <v>3</v>
      </c>
      <c r="G21" s="13" t="str">
        <f aca="false">INDEX('Plan Reference'!$D$5:$D$22,MATCH(E21,'Plan Reference'!$B$5:$B$22,0))</f>
        <v>20-30 sec/side</v>
      </c>
      <c r="H21" s="7"/>
      <c r="I21" s="7"/>
      <c r="J21" s="7"/>
    </row>
    <row r="22" customFormat="false" ht="15" hidden="false" customHeight="false" outlineLevel="0" collapsed="false">
      <c r="A22" s="10" t="n">
        <v>1</v>
      </c>
      <c r="B22" s="14" t="n">
        <f aca="false">Settings!$B$4+(A22-1)*7+4</f>
        <v>46213</v>
      </c>
      <c r="C22" s="9" t="str">
        <f aca="false">TEXT(B22,"dddd")</f>
        <v>Friday</v>
      </c>
      <c r="D22" s="9" t="s">
        <v>43</v>
      </c>
      <c r="E22" s="9" t="s">
        <v>51</v>
      </c>
      <c r="F22" s="16" t="n">
        <f aca="false">INDEX('Plan Reference'!$C$5:$C$22,MATCH(E22,'Plan Reference'!$B$5:$B$22,0))</f>
        <v>3</v>
      </c>
      <c r="G22" s="16" t="str">
        <f aca="false">INDEX('Plan Reference'!$D$5:$D$22,MATCH(E22,'Plan Reference'!$B$5:$B$22,0))</f>
        <v>30 sec</v>
      </c>
      <c r="H22" s="10"/>
      <c r="I22" s="10"/>
      <c r="J22" s="10"/>
      <c r="K22" s="17"/>
    </row>
    <row r="23" customFormat="false" ht="15" hidden="false" customHeight="false" outlineLevel="0" collapsed="false">
      <c r="A23" s="7" t="n">
        <v>2</v>
      </c>
      <c r="B23" s="11" t="n">
        <f aca="false">Settings!$B$4+(A23-1)*7+0</f>
        <v>46216</v>
      </c>
      <c r="C23" s="5" t="str">
        <f aca="false">TEXT(B23,"dddd")</f>
        <v>Monday</v>
      </c>
      <c r="D23" s="5" t="s">
        <v>24</v>
      </c>
      <c r="E23" s="5" t="s">
        <v>25</v>
      </c>
      <c r="F23" s="13" t="n">
        <f aca="false">INDEX('Plan Reference'!$C$5:$C$22,MATCH(E23,'Plan Reference'!$B$5:$B$22,0))</f>
        <v>3</v>
      </c>
      <c r="G23" s="13" t="str">
        <f aca="false">INDEX('Plan Reference'!$D$5:$D$22,MATCH(E23,'Plan Reference'!$B$5:$B$22,0))</f>
        <v>12</v>
      </c>
      <c r="H23" s="7"/>
      <c r="I23" s="7"/>
      <c r="J23" s="7"/>
    </row>
    <row r="24" customFormat="false" ht="15" hidden="false" customHeight="false" outlineLevel="0" collapsed="false">
      <c r="A24" s="10" t="n">
        <v>2</v>
      </c>
      <c r="B24" s="14" t="n">
        <f aca="false">Settings!$B$4+(A24-1)*7+0</f>
        <v>46216</v>
      </c>
      <c r="C24" s="9" t="str">
        <f aca="false">TEXT(B24,"dddd")</f>
        <v>Monday</v>
      </c>
      <c r="D24" s="9" t="s">
        <v>24</v>
      </c>
      <c r="E24" s="9" t="s">
        <v>27</v>
      </c>
      <c r="F24" s="16" t="n">
        <f aca="false">INDEX('Plan Reference'!$C$5:$C$22,MATCH(E24,'Plan Reference'!$B$5:$B$22,0))</f>
        <v>3</v>
      </c>
      <c r="G24" s="16" t="str">
        <f aca="false">INDEX('Plan Reference'!$D$5:$D$22,MATCH(E24,'Plan Reference'!$B$5:$B$22,0))</f>
        <v>12</v>
      </c>
      <c r="H24" s="10"/>
      <c r="I24" s="10"/>
      <c r="J24" s="10"/>
      <c r="K24" s="17"/>
    </row>
    <row r="25" customFormat="false" ht="15" hidden="false" customHeight="false" outlineLevel="0" collapsed="false">
      <c r="A25" s="7" t="n">
        <v>2</v>
      </c>
      <c r="B25" s="11" t="n">
        <f aca="false">Settings!$B$4+(A25-1)*7+0</f>
        <v>46216</v>
      </c>
      <c r="C25" s="5" t="str">
        <f aca="false">TEXT(B25,"dddd")</f>
        <v>Monday</v>
      </c>
      <c r="D25" s="5" t="s">
        <v>24</v>
      </c>
      <c r="E25" s="5" t="s">
        <v>28</v>
      </c>
      <c r="F25" s="13" t="n">
        <f aca="false">INDEX('Plan Reference'!$C$5:$C$22,MATCH(E25,'Plan Reference'!$B$5:$B$22,0))</f>
        <v>3</v>
      </c>
      <c r="G25" s="13" t="str">
        <f aca="false">INDEX('Plan Reference'!$D$5:$D$22,MATCH(E25,'Plan Reference'!$B$5:$B$22,0))</f>
        <v>10/leg</v>
      </c>
      <c r="H25" s="7"/>
      <c r="I25" s="7"/>
      <c r="J25" s="7"/>
    </row>
    <row r="26" customFormat="false" ht="15" hidden="false" customHeight="false" outlineLevel="0" collapsed="false">
      <c r="A26" s="10" t="n">
        <v>2</v>
      </c>
      <c r="B26" s="14" t="n">
        <f aca="false">Settings!$B$4+(A26-1)*7+0</f>
        <v>46216</v>
      </c>
      <c r="C26" s="9" t="str">
        <f aca="false">TEXT(B26,"dddd")</f>
        <v>Monday</v>
      </c>
      <c r="D26" s="9" t="s">
        <v>24</v>
      </c>
      <c r="E26" s="9" t="s">
        <v>30</v>
      </c>
      <c r="F26" s="16" t="n">
        <f aca="false">INDEX('Plan Reference'!$C$5:$C$22,MATCH(E26,'Plan Reference'!$B$5:$B$22,0))</f>
        <v>3</v>
      </c>
      <c r="G26" s="16" t="str">
        <f aca="false">INDEX('Plan Reference'!$D$5:$D$22,MATCH(E26,'Plan Reference'!$B$5:$B$22,0))</f>
        <v>15</v>
      </c>
      <c r="H26" s="10"/>
      <c r="I26" s="10"/>
      <c r="J26" s="10"/>
      <c r="K26" s="17"/>
    </row>
    <row r="27" customFormat="false" ht="15" hidden="false" customHeight="false" outlineLevel="0" collapsed="false">
      <c r="A27" s="7" t="n">
        <v>2</v>
      </c>
      <c r="B27" s="11" t="n">
        <f aca="false">Settings!$B$4+(A27-1)*7+0</f>
        <v>46216</v>
      </c>
      <c r="C27" s="5" t="str">
        <f aca="false">TEXT(B27,"dddd")</f>
        <v>Monday</v>
      </c>
      <c r="D27" s="5" t="s">
        <v>24</v>
      </c>
      <c r="E27" s="5" t="s">
        <v>32</v>
      </c>
      <c r="F27" s="13" t="n">
        <f aca="false">INDEX('Plan Reference'!$C$5:$C$22,MATCH(E27,'Plan Reference'!$B$5:$B$22,0))</f>
        <v>3</v>
      </c>
      <c r="G27" s="13" t="str">
        <f aca="false">INDEX('Plan Reference'!$D$5:$D$22,MATCH(E27,'Plan Reference'!$B$5:$B$22,0))</f>
        <v>30-45 sec</v>
      </c>
      <c r="H27" s="7"/>
      <c r="I27" s="7"/>
      <c r="J27" s="7"/>
    </row>
    <row r="28" customFormat="false" ht="15" hidden="false" customHeight="false" outlineLevel="0" collapsed="false">
      <c r="A28" s="10" t="n">
        <v>2</v>
      </c>
      <c r="B28" s="14" t="n">
        <f aca="false">Settings!$B$4+(A28-1)*7+0</f>
        <v>46216</v>
      </c>
      <c r="C28" s="9" t="str">
        <f aca="false">TEXT(B28,"dddd")</f>
        <v>Monday</v>
      </c>
      <c r="D28" s="9" t="s">
        <v>24</v>
      </c>
      <c r="E28" s="9" t="s">
        <v>34</v>
      </c>
      <c r="F28" s="16" t="n">
        <f aca="false">INDEX('Plan Reference'!$C$5:$C$22,MATCH(E28,'Plan Reference'!$B$5:$B$22,0))</f>
        <v>3</v>
      </c>
      <c r="G28" s="16" t="str">
        <f aca="false">INDEX('Plan Reference'!$D$5:$D$22,MATCH(E28,'Plan Reference'!$B$5:$B$22,0))</f>
        <v>15</v>
      </c>
      <c r="H28" s="10"/>
      <c r="I28" s="10"/>
      <c r="J28" s="10"/>
      <c r="K28" s="17"/>
    </row>
    <row r="29" customFormat="false" ht="15" hidden="false" customHeight="false" outlineLevel="0" collapsed="false">
      <c r="A29" s="7" t="n">
        <v>2</v>
      </c>
      <c r="B29" s="11" t="n">
        <f aca="false">Settings!$B$4+(A29-1)*7+2</f>
        <v>46218</v>
      </c>
      <c r="C29" s="5" t="str">
        <f aca="false">TEXT(B29,"dddd")</f>
        <v>Wednesday</v>
      </c>
      <c r="D29" s="5" t="s">
        <v>35</v>
      </c>
      <c r="E29" s="5" t="s">
        <v>36</v>
      </c>
      <c r="F29" s="13" t="n">
        <f aca="false">INDEX('Plan Reference'!$C$5:$C$22,MATCH(E29,'Plan Reference'!$B$5:$B$22,0))</f>
        <v>3</v>
      </c>
      <c r="G29" s="13" t="str">
        <f aca="false">INDEX('Plan Reference'!$D$5:$D$22,MATCH(E29,'Plan Reference'!$B$5:$B$22,0))</f>
        <v>12</v>
      </c>
      <c r="H29" s="7"/>
      <c r="I29" s="7"/>
      <c r="J29" s="7"/>
    </row>
    <row r="30" customFormat="false" ht="15" hidden="false" customHeight="false" outlineLevel="0" collapsed="false">
      <c r="A30" s="10" t="n">
        <v>2</v>
      </c>
      <c r="B30" s="14" t="n">
        <f aca="false">Settings!$B$4+(A30-1)*7+2</f>
        <v>46218</v>
      </c>
      <c r="C30" s="9" t="str">
        <f aca="false">TEXT(B30,"dddd")</f>
        <v>Wednesday</v>
      </c>
      <c r="D30" s="9" t="s">
        <v>35</v>
      </c>
      <c r="E30" s="9" t="s">
        <v>37</v>
      </c>
      <c r="F30" s="16" t="n">
        <f aca="false">INDEX('Plan Reference'!$C$5:$C$22,MATCH(E30,'Plan Reference'!$B$5:$B$22,0))</f>
        <v>3</v>
      </c>
      <c r="G30" s="16" t="str">
        <f aca="false">INDEX('Plan Reference'!$D$5:$D$22,MATCH(E30,'Plan Reference'!$B$5:$B$22,0))</f>
        <v>12</v>
      </c>
      <c r="H30" s="10"/>
      <c r="I30" s="10"/>
      <c r="J30" s="10"/>
      <c r="K30" s="17"/>
    </row>
    <row r="31" customFormat="false" ht="15" hidden="false" customHeight="false" outlineLevel="0" collapsed="false">
      <c r="A31" s="7" t="n">
        <v>2</v>
      </c>
      <c r="B31" s="11" t="n">
        <f aca="false">Settings!$B$4+(A31-1)*7+2</f>
        <v>46218</v>
      </c>
      <c r="C31" s="5" t="str">
        <f aca="false">TEXT(B31,"dddd")</f>
        <v>Wednesday</v>
      </c>
      <c r="D31" s="5" t="s">
        <v>35</v>
      </c>
      <c r="E31" s="5" t="s">
        <v>38</v>
      </c>
      <c r="F31" s="13" t="n">
        <f aca="false">INDEX('Plan Reference'!$C$5:$C$22,MATCH(E31,'Plan Reference'!$B$5:$B$22,0))</f>
        <v>3</v>
      </c>
      <c r="G31" s="13" t="str">
        <f aca="false">INDEX('Plan Reference'!$D$5:$D$22,MATCH(E31,'Plan Reference'!$B$5:$B$22,0))</f>
        <v>12</v>
      </c>
      <c r="H31" s="7"/>
      <c r="I31" s="7"/>
      <c r="J31" s="7"/>
    </row>
    <row r="32" customFormat="false" ht="15" hidden="false" customHeight="false" outlineLevel="0" collapsed="false">
      <c r="A32" s="10" t="n">
        <v>2</v>
      </c>
      <c r="B32" s="14" t="n">
        <f aca="false">Settings!$B$4+(A32-1)*7+2</f>
        <v>46218</v>
      </c>
      <c r="C32" s="9" t="str">
        <f aca="false">TEXT(B32,"dddd")</f>
        <v>Wednesday</v>
      </c>
      <c r="D32" s="9" t="s">
        <v>35</v>
      </c>
      <c r="E32" s="9" t="s">
        <v>39</v>
      </c>
      <c r="F32" s="16" t="n">
        <f aca="false">INDEX('Plan Reference'!$C$5:$C$22,MATCH(E32,'Plan Reference'!$B$5:$B$22,0))</f>
        <v>3</v>
      </c>
      <c r="G32" s="16" t="str">
        <f aca="false">INDEX('Plan Reference'!$D$5:$D$22,MATCH(E32,'Plan Reference'!$B$5:$B$22,0))</f>
        <v>15</v>
      </c>
      <c r="H32" s="10"/>
      <c r="I32" s="10"/>
      <c r="J32" s="10"/>
      <c r="K32" s="17"/>
    </row>
    <row r="33" customFormat="false" ht="15" hidden="false" customHeight="false" outlineLevel="0" collapsed="false">
      <c r="A33" s="7" t="n">
        <v>2</v>
      </c>
      <c r="B33" s="11" t="n">
        <f aca="false">Settings!$B$4+(A33-1)*7+2</f>
        <v>46218</v>
      </c>
      <c r="C33" s="5" t="str">
        <f aca="false">TEXT(B33,"dddd")</f>
        <v>Wednesday</v>
      </c>
      <c r="D33" s="5" t="s">
        <v>35</v>
      </c>
      <c r="E33" s="5" t="s">
        <v>40</v>
      </c>
      <c r="F33" s="13" t="n">
        <f aca="false">INDEX('Plan Reference'!$C$5:$C$22,MATCH(E33,'Plan Reference'!$B$5:$B$22,0))</f>
        <v>3</v>
      </c>
      <c r="G33" s="13" t="str">
        <f aca="false">INDEX('Plan Reference'!$D$5:$D$22,MATCH(E33,'Plan Reference'!$B$5:$B$22,0))</f>
        <v>12</v>
      </c>
      <c r="H33" s="7"/>
      <c r="I33" s="7"/>
      <c r="J33" s="7"/>
    </row>
    <row r="34" customFormat="false" ht="15" hidden="false" customHeight="false" outlineLevel="0" collapsed="false">
      <c r="A34" s="10" t="n">
        <v>2</v>
      </c>
      <c r="B34" s="14" t="n">
        <f aca="false">Settings!$B$4+(A34-1)*7+2</f>
        <v>46218</v>
      </c>
      <c r="C34" s="9" t="str">
        <f aca="false">TEXT(B34,"dddd")</f>
        <v>Wednesday</v>
      </c>
      <c r="D34" s="9" t="s">
        <v>35</v>
      </c>
      <c r="E34" s="9" t="s">
        <v>41</v>
      </c>
      <c r="F34" s="16" t="n">
        <f aca="false">INDEX('Plan Reference'!$C$5:$C$22,MATCH(E34,'Plan Reference'!$B$5:$B$22,0))</f>
        <v>3</v>
      </c>
      <c r="G34" s="16" t="str">
        <f aca="false">INDEX('Plan Reference'!$D$5:$D$22,MATCH(E34,'Plan Reference'!$B$5:$B$22,0))</f>
        <v>12/side</v>
      </c>
      <c r="H34" s="10"/>
      <c r="I34" s="10"/>
      <c r="J34" s="10"/>
      <c r="K34" s="17"/>
    </row>
    <row r="35" customFormat="false" ht="15" hidden="false" customHeight="false" outlineLevel="0" collapsed="false">
      <c r="A35" s="7" t="n">
        <v>2</v>
      </c>
      <c r="B35" s="11" t="n">
        <f aca="false">Settings!$B$4+(A35-1)*7+4</f>
        <v>46220</v>
      </c>
      <c r="C35" s="5" t="str">
        <f aca="false">TEXT(B35,"dddd")</f>
        <v>Friday</v>
      </c>
      <c r="D35" s="5" t="s">
        <v>43</v>
      </c>
      <c r="E35" s="5" t="s">
        <v>44</v>
      </c>
      <c r="F35" s="13" t="n">
        <f aca="false">INDEX('Plan Reference'!$C$5:$C$22,MATCH(E35,'Plan Reference'!$B$5:$B$22,0))</f>
        <v>3</v>
      </c>
      <c r="G35" s="13" t="str">
        <f aca="false">INDEX('Plan Reference'!$D$5:$D$22,MATCH(E35,'Plan Reference'!$B$5:$B$22,0))</f>
        <v>12</v>
      </c>
      <c r="H35" s="7"/>
      <c r="I35" s="7"/>
      <c r="J35" s="7"/>
    </row>
    <row r="36" customFormat="false" ht="15" hidden="false" customHeight="false" outlineLevel="0" collapsed="false">
      <c r="A36" s="10" t="n">
        <v>2</v>
      </c>
      <c r="B36" s="14" t="n">
        <f aca="false">Settings!$B$4+(A36-1)*7+4</f>
        <v>46220</v>
      </c>
      <c r="C36" s="9" t="str">
        <f aca="false">TEXT(B36,"dddd")</f>
        <v>Friday</v>
      </c>
      <c r="D36" s="9" t="s">
        <v>43</v>
      </c>
      <c r="E36" s="9" t="s">
        <v>45</v>
      </c>
      <c r="F36" s="16" t="n">
        <f aca="false">INDEX('Plan Reference'!$C$5:$C$22,MATCH(E36,'Plan Reference'!$B$5:$B$22,0))</f>
        <v>3</v>
      </c>
      <c r="G36" s="16" t="str">
        <f aca="false">INDEX('Plan Reference'!$D$5:$D$22,MATCH(E36,'Plan Reference'!$B$5:$B$22,0))</f>
        <v>10/side</v>
      </c>
      <c r="H36" s="10"/>
      <c r="I36" s="10"/>
      <c r="J36" s="10"/>
      <c r="K36" s="17"/>
    </row>
    <row r="37" customFormat="false" ht="15" hidden="false" customHeight="false" outlineLevel="0" collapsed="false">
      <c r="A37" s="7" t="n">
        <v>2</v>
      </c>
      <c r="B37" s="11" t="n">
        <f aca="false">Settings!$B$4+(A37-1)*7+4</f>
        <v>46220</v>
      </c>
      <c r="C37" s="5" t="str">
        <f aca="false">TEXT(B37,"dddd")</f>
        <v>Friday</v>
      </c>
      <c r="D37" s="5" t="s">
        <v>43</v>
      </c>
      <c r="E37" s="5" t="s">
        <v>47</v>
      </c>
      <c r="F37" s="13" t="n">
        <f aca="false">INDEX('Plan Reference'!$C$5:$C$22,MATCH(E37,'Plan Reference'!$B$5:$B$22,0))</f>
        <v>3</v>
      </c>
      <c r="G37" s="13" t="str">
        <f aca="false">INDEX('Plan Reference'!$D$5:$D$22,MATCH(E37,'Plan Reference'!$B$5:$B$22,0))</f>
        <v>10/leg</v>
      </c>
      <c r="H37" s="7"/>
      <c r="I37" s="7"/>
      <c r="J37" s="7"/>
    </row>
    <row r="38" customFormat="false" ht="15" hidden="false" customHeight="false" outlineLevel="0" collapsed="false">
      <c r="A38" s="10" t="n">
        <v>2</v>
      </c>
      <c r="B38" s="14" t="n">
        <f aca="false">Settings!$B$4+(A38-1)*7+4</f>
        <v>46220</v>
      </c>
      <c r="C38" s="9" t="str">
        <f aca="false">TEXT(B38,"dddd")</f>
        <v>Friday</v>
      </c>
      <c r="D38" s="9" t="s">
        <v>43</v>
      </c>
      <c r="E38" s="9" t="s">
        <v>48</v>
      </c>
      <c r="F38" s="16" t="n">
        <f aca="false">INDEX('Plan Reference'!$C$5:$C$22,MATCH(E38,'Plan Reference'!$B$5:$B$22,0))</f>
        <v>3</v>
      </c>
      <c r="G38" s="16" t="str">
        <f aca="false">INDEX('Plan Reference'!$D$5:$D$22,MATCH(E38,'Plan Reference'!$B$5:$B$22,0))</f>
        <v>12/side</v>
      </c>
      <c r="H38" s="10"/>
      <c r="I38" s="10"/>
      <c r="J38" s="10"/>
      <c r="K38" s="17"/>
    </row>
    <row r="39" customFormat="false" ht="15" hidden="false" customHeight="false" outlineLevel="0" collapsed="false">
      <c r="A39" s="7" t="n">
        <v>2</v>
      </c>
      <c r="B39" s="11" t="n">
        <f aca="false">Settings!$B$4+(A39-1)*7+4</f>
        <v>46220</v>
      </c>
      <c r="C39" s="5" t="str">
        <f aca="false">TEXT(B39,"dddd")</f>
        <v>Friday</v>
      </c>
      <c r="D39" s="5" t="s">
        <v>43</v>
      </c>
      <c r="E39" s="5" t="s">
        <v>49</v>
      </c>
      <c r="F39" s="13" t="n">
        <f aca="false">INDEX('Plan Reference'!$C$5:$C$22,MATCH(E39,'Plan Reference'!$B$5:$B$22,0))</f>
        <v>3</v>
      </c>
      <c r="G39" s="13" t="str">
        <f aca="false">INDEX('Plan Reference'!$D$5:$D$22,MATCH(E39,'Plan Reference'!$B$5:$B$22,0))</f>
        <v>20-30 sec/side</v>
      </c>
      <c r="H39" s="7"/>
      <c r="I39" s="7"/>
      <c r="J39" s="7"/>
    </row>
    <row r="40" customFormat="false" ht="15" hidden="false" customHeight="false" outlineLevel="0" collapsed="false">
      <c r="A40" s="10" t="n">
        <v>2</v>
      </c>
      <c r="B40" s="14" t="n">
        <f aca="false">Settings!$B$4+(A40-1)*7+4</f>
        <v>46220</v>
      </c>
      <c r="C40" s="9" t="str">
        <f aca="false">TEXT(B40,"dddd")</f>
        <v>Friday</v>
      </c>
      <c r="D40" s="9" t="s">
        <v>43</v>
      </c>
      <c r="E40" s="9" t="s">
        <v>51</v>
      </c>
      <c r="F40" s="16" t="n">
        <f aca="false">INDEX('Plan Reference'!$C$5:$C$22,MATCH(E40,'Plan Reference'!$B$5:$B$22,0))</f>
        <v>3</v>
      </c>
      <c r="G40" s="16" t="str">
        <f aca="false">INDEX('Plan Reference'!$D$5:$D$22,MATCH(E40,'Plan Reference'!$B$5:$B$22,0))</f>
        <v>30 sec</v>
      </c>
      <c r="H40" s="10"/>
      <c r="I40" s="10"/>
      <c r="J40" s="10"/>
      <c r="K40" s="17"/>
    </row>
    <row r="41" customFormat="false" ht="15" hidden="false" customHeight="false" outlineLevel="0" collapsed="false">
      <c r="A41" s="7" t="n">
        <v>3</v>
      </c>
      <c r="B41" s="11" t="n">
        <f aca="false">Settings!$B$4+(A41-1)*7+0</f>
        <v>46223</v>
      </c>
      <c r="C41" s="5" t="str">
        <f aca="false">TEXT(B41,"dddd")</f>
        <v>Monday</v>
      </c>
      <c r="D41" s="5" t="s">
        <v>24</v>
      </c>
      <c r="E41" s="5" t="s">
        <v>25</v>
      </c>
      <c r="F41" s="13" t="n">
        <f aca="false">INDEX('Plan Reference'!$C$5:$C$22,MATCH(E41,'Plan Reference'!$B$5:$B$22,0))</f>
        <v>3</v>
      </c>
      <c r="G41" s="13" t="str">
        <f aca="false">INDEX('Plan Reference'!$D$5:$D$22,MATCH(E41,'Plan Reference'!$B$5:$B$22,0))</f>
        <v>12</v>
      </c>
      <c r="H41" s="7"/>
      <c r="I41" s="7"/>
      <c r="J41" s="7"/>
    </row>
    <row r="42" customFormat="false" ht="15" hidden="false" customHeight="false" outlineLevel="0" collapsed="false">
      <c r="A42" s="10" t="n">
        <v>3</v>
      </c>
      <c r="B42" s="14" t="n">
        <f aca="false">Settings!$B$4+(A42-1)*7+0</f>
        <v>46223</v>
      </c>
      <c r="C42" s="9" t="str">
        <f aca="false">TEXT(B42,"dddd")</f>
        <v>Monday</v>
      </c>
      <c r="D42" s="9" t="s">
        <v>24</v>
      </c>
      <c r="E42" s="9" t="s">
        <v>27</v>
      </c>
      <c r="F42" s="16" t="n">
        <f aca="false">INDEX('Plan Reference'!$C$5:$C$22,MATCH(E42,'Plan Reference'!$B$5:$B$22,0))</f>
        <v>3</v>
      </c>
      <c r="G42" s="16" t="str">
        <f aca="false">INDEX('Plan Reference'!$D$5:$D$22,MATCH(E42,'Plan Reference'!$B$5:$B$22,0))</f>
        <v>12</v>
      </c>
      <c r="H42" s="10"/>
      <c r="I42" s="10"/>
      <c r="J42" s="10"/>
      <c r="K42" s="17"/>
    </row>
    <row r="43" customFormat="false" ht="15" hidden="false" customHeight="false" outlineLevel="0" collapsed="false">
      <c r="A43" s="7" t="n">
        <v>3</v>
      </c>
      <c r="B43" s="11" t="n">
        <f aca="false">Settings!$B$4+(A43-1)*7+0</f>
        <v>46223</v>
      </c>
      <c r="C43" s="5" t="str">
        <f aca="false">TEXT(B43,"dddd")</f>
        <v>Monday</v>
      </c>
      <c r="D43" s="5" t="s">
        <v>24</v>
      </c>
      <c r="E43" s="5" t="s">
        <v>28</v>
      </c>
      <c r="F43" s="13" t="n">
        <f aca="false">INDEX('Plan Reference'!$C$5:$C$22,MATCH(E43,'Plan Reference'!$B$5:$B$22,0))</f>
        <v>3</v>
      </c>
      <c r="G43" s="13" t="str">
        <f aca="false">INDEX('Plan Reference'!$D$5:$D$22,MATCH(E43,'Plan Reference'!$B$5:$B$22,0))</f>
        <v>10/leg</v>
      </c>
      <c r="H43" s="7"/>
      <c r="I43" s="7"/>
      <c r="J43" s="7"/>
    </row>
    <row r="44" customFormat="false" ht="15" hidden="false" customHeight="false" outlineLevel="0" collapsed="false">
      <c r="A44" s="10" t="n">
        <v>3</v>
      </c>
      <c r="B44" s="14" t="n">
        <f aca="false">Settings!$B$4+(A44-1)*7+0</f>
        <v>46223</v>
      </c>
      <c r="C44" s="9" t="str">
        <f aca="false">TEXT(B44,"dddd")</f>
        <v>Monday</v>
      </c>
      <c r="D44" s="9" t="s">
        <v>24</v>
      </c>
      <c r="E44" s="9" t="s">
        <v>30</v>
      </c>
      <c r="F44" s="16" t="n">
        <f aca="false">INDEX('Plan Reference'!$C$5:$C$22,MATCH(E44,'Plan Reference'!$B$5:$B$22,0))</f>
        <v>3</v>
      </c>
      <c r="G44" s="16" t="str">
        <f aca="false">INDEX('Plan Reference'!$D$5:$D$22,MATCH(E44,'Plan Reference'!$B$5:$B$22,0))</f>
        <v>15</v>
      </c>
      <c r="H44" s="10"/>
      <c r="I44" s="10"/>
      <c r="J44" s="10"/>
      <c r="K44" s="17"/>
    </row>
    <row r="45" customFormat="false" ht="15" hidden="false" customHeight="false" outlineLevel="0" collapsed="false">
      <c r="A45" s="7" t="n">
        <v>3</v>
      </c>
      <c r="B45" s="11" t="n">
        <f aca="false">Settings!$B$4+(A45-1)*7+0</f>
        <v>46223</v>
      </c>
      <c r="C45" s="5" t="str">
        <f aca="false">TEXT(B45,"dddd")</f>
        <v>Monday</v>
      </c>
      <c r="D45" s="5" t="s">
        <v>24</v>
      </c>
      <c r="E45" s="5" t="s">
        <v>32</v>
      </c>
      <c r="F45" s="13" t="n">
        <f aca="false">INDEX('Plan Reference'!$C$5:$C$22,MATCH(E45,'Plan Reference'!$B$5:$B$22,0))</f>
        <v>3</v>
      </c>
      <c r="G45" s="13" t="str">
        <f aca="false">INDEX('Plan Reference'!$D$5:$D$22,MATCH(E45,'Plan Reference'!$B$5:$B$22,0))</f>
        <v>30-45 sec</v>
      </c>
      <c r="H45" s="7"/>
      <c r="I45" s="7"/>
      <c r="J45" s="7"/>
    </row>
    <row r="46" customFormat="false" ht="15" hidden="false" customHeight="false" outlineLevel="0" collapsed="false">
      <c r="A46" s="10" t="n">
        <v>3</v>
      </c>
      <c r="B46" s="14" t="n">
        <f aca="false">Settings!$B$4+(A46-1)*7+0</f>
        <v>46223</v>
      </c>
      <c r="C46" s="9" t="str">
        <f aca="false">TEXT(B46,"dddd")</f>
        <v>Monday</v>
      </c>
      <c r="D46" s="9" t="s">
        <v>24</v>
      </c>
      <c r="E46" s="9" t="s">
        <v>34</v>
      </c>
      <c r="F46" s="16" t="n">
        <f aca="false">INDEX('Plan Reference'!$C$5:$C$22,MATCH(E46,'Plan Reference'!$B$5:$B$22,0))</f>
        <v>3</v>
      </c>
      <c r="G46" s="16" t="str">
        <f aca="false">INDEX('Plan Reference'!$D$5:$D$22,MATCH(E46,'Plan Reference'!$B$5:$B$22,0))</f>
        <v>15</v>
      </c>
      <c r="H46" s="10"/>
      <c r="I46" s="10"/>
      <c r="J46" s="10"/>
      <c r="K46" s="17"/>
    </row>
    <row r="47" customFormat="false" ht="15" hidden="false" customHeight="false" outlineLevel="0" collapsed="false">
      <c r="A47" s="7" t="n">
        <v>3</v>
      </c>
      <c r="B47" s="11" t="n">
        <f aca="false">Settings!$B$4+(A47-1)*7+2</f>
        <v>46225</v>
      </c>
      <c r="C47" s="5" t="str">
        <f aca="false">TEXT(B47,"dddd")</f>
        <v>Wednesday</v>
      </c>
      <c r="D47" s="5" t="s">
        <v>35</v>
      </c>
      <c r="E47" s="5" t="s">
        <v>36</v>
      </c>
      <c r="F47" s="13" t="n">
        <f aca="false">INDEX('Plan Reference'!$C$5:$C$22,MATCH(E47,'Plan Reference'!$B$5:$B$22,0))</f>
        <v>3</v>
      </c>
      <c r="G47" s="13" t="str">
        <f aca="false">INDEX('Plan Reference'!$D$5:$D$22,MATCH(E47,'Plan Reference'!$B$5:$B$22,0))</f>
        <v>12</v>
      </c>
      <c r="H47" s="7"/>
      <c r="I47" s="7"/>
      <c r="J47" s="7"/>
    </row>
    <row r="48" customFormat="false" ht="15" hidden="false" customHeight="false" outlineLevel="0" collapsed="false">
      <c r="A48" s="10" t="n">
        <v>3</v>
      </c>
      <c r="B48" s="14" t="n">
        <f aca="false">Settings!$B$4+(A48-1)*7+2</f>
        <v>46225</v>
      </c>
      <c r="C48" s="9" t="str">
        <f aca="false">TEXT(B48,"dddd")</f>
        <v>Wednesday</v>
      </c>
      <c r="D48" s="9" t="s">
        <v>35</v>
      </c>
      <c r="E48" s="9" t="s">
        <v>37</v>
      </c>
      <c r="F48" s="16" t="n">
        <f aca="false">INDEX('Plan Reference'!$C$5:$C$22,MATCH(E48,'Plan Reference'!$B$5:$B$22,0))</f>
        <v>3</v>
      </c>
      <c r="G48" s="16" t="str">
        <f aca="false">INDEX('Plan Reference'!$D$5:$D$22,MATCH(E48,'Plan Reference'!$B$5:$B$22,0))</f>
        <v>12</v>
      </c>
      <c r="H48" s="10"/>
      <c r="I48" s="10"/>
      <c r="J48" s="10"/>
      <c r="K48" s="17"/>
    </row>
    <row r="49" customFormat="false" ht="15" hidden="false" customHeight="false" outlineLevel="0" collapsed="false">
      <c r="A49" s="7" t="n">
        <v>3</v>
      </c>
      <c r="B49" s="11" t="n">
        <f aca="false">Settings!$B$4+(A49-1)*7+2</f>
        <v>46225</v>
      </c>
      <c r="C49" s="5" t="str">
        <f aca="false">TEXT(B49,"dddd")</f>
        <v>Wednesday</v>
      </c>
      <c r="D49" s="5" t="s">
        <v>35</v>
      </c>
      <c r="E49" s="5" t="s">
        <v>38</v>
      </c>
      <c r="F49" s="13" t="n">
        <f aca="false">INDEX('Plan Reference'!$C$5:$C$22,MATCH(E49,'Plan Reference'!$B$5:$B$22,0))</f>
        <v>3</v>
      </c>
      <c r="G49" s="13" t="str">
        <f aca="false">INDEX('Plan Reference'!$D$5:$D$22,MATCH(E49,'Plan Reference'!$B$5:$B$22,0))</f>
        <v>12</v>
      </c>
      <c r="H49" s="7"/>
      <c r="I49" s="7"/>
      <c r="J49" s="7"/>
    </row>
    <row r="50" customFormat="false" ht="15" hidden="false" customHeight="false" outlineLevel="0" collapsed="false">
      <c r="A50" s="10" t="n">
        <v>3</v>
      </c>
      <c r="B50" s="14" t="n">
        <f aca="false">Settings!$B$4+(A50-1)*7+2</f>
        <v>46225</v>
      </c>
      <c r="C50" s="9" t="str">
        <f aca="false">TEXT(B50,"dddd")</f>
        <v>Wednesday</v>
      </c>
      <c r="D50" s="9" t="s">
        <v>35</v>
      </c>
      <c r="E50" s="9" t="s">
        <v>39</v>
      </c>
      <c r="F50" s="16" t="n">
        <f aca="false">INDEX('Plan Reference'!$C$5:$C$22,MATCH(E50,'Plan Reference'!$B$5:$B$22,0))</f>
        <v>3</v>
      </c>
      <c r="G50" s="16" t="str">
        <f aca="false">INDEX('Plan Reference'!$D$5:$D$22,MATCH(E50,'Plan Reference'!$B$5:$B$22,0))</f>
        <v>15</v>
      </c>
      <c r="H50" s="10"/>
      <c r="I50" s="10"/>
      <c r="J50" s="10"/>
      <c r="K50" s="17"/>
    </row>
    <row r="51" customFormat="false" ht="15" hidden="false" customHeight="false" outlineLevel="0" collapsed="false">
      <c r="A51" s="7" t="n">
        <v>3</v>
      </c>
      <c r="B51" s="11" t="n">
        <f aca="false">Settings!$B$4+(A51-1)*7+2</f>
        <v>46225</v>
      </c>
      <c r="C51" s="5" t="str">
        <f aca="false">TEXT(B51,"dddd")</f>
        <v>Wednesday</v>
      </c>
      <c r="D51" s="5" t="s">
        <v>35</v>
      </c>
      <c r="E51" s="5" t="s">
        <v>40</v>
      </c>
      <c r="F51" s="13" t="n">
        <f aca="false">INDEX('Plan Reference'!$C$5:$C$22,MATCH(E51,'Plan Reference'!$B$5:$B$22,0))</f>
        <v>3</v>
      </c>
      <c r="G51" s="13" t="str">
        <f aca="false">INDEX('Plan Reference'!$D$5:$D$22,MATCH(E51,'Plan Reference'!$B$5:$B$22,0))</f>
        <v>12</v>
      </c>
      <c r="H51" s="7"/>
      <c r="I51" s="7"/>
      <c r="J51" s="7"/>
    </row>
    <row r="52" customFormat="false" ht="15" hidden="false" customHeight="false" outlineLevel="0" collapsed="false">
      <c r="A52" s="10" t="n">
        <v>3</v>
      </c>
      <c r="B52" s="14" t="n">
        <f aca="false">Settings!$B$4+(A52-1)*7+2</f>
        <v>46225</v>
      </c>
      <c r="C52" s="9" t="str">
        <f aca="false">TEXT(B52,"dddd")</f>
        <v>Wednesday</v>
      </c>
      <c r="D52" s="9" t="s">
        <v>35</v>
      </c>
      <c r="E52" s="9" t="s">
        <v>41</v>
      </c>
      <c r="F52" s="16" t="n">
        <f aca="false">INDEX('Plan Reference'!$C$5:$C$22,MATCH(E52,'Plan Reference'!$B$5:$B$22,0))</f>
        <v>3</v>
      </c>
      <c r="G52" s="16" t="str">
        <f aca="false">INDEX('Plan Reference'!$D$5:$D$22,MATCH(E52,'Plan Reference'!$B$5:$B$22,0))</f>
        <v>12/side</v>
      </c>
      <c r="H52" s="10"/>
      <c r="I52" s="10"/>
      <c r="J52" s="10"/>
      <c r="K52" s="17"/>
    </row>
    <row r="53" customFormat="false" ht="15" hidden="false" customHeight="false" outlineLevel="0" collapsed="false">
      <c r="A53" s="7" t="n">
        <v>3</v>
      </c>
      <c r="B53" s="11" t="n">
        <f aca="false">Settings!$B$4+(A53-1)*7+4</f>
        <v>46227</v>
      </c>
      <c r="C53" s="5" t="str">
        <f aca="false">TEXT(B53,"dddd")</f>
        <v>Friday</v>
      </c>
      <c r="D53" s="5" t="s">
        <v>43</v>
      </c>
      <c r="E53" s="5" t="s">
        <v>44</v>
      </c>
      <c r="F53" s="13" t="n">
        <f aca="false">INDEX('Plan Reference'!$C$5:$C$22,MATCH(E53,'Plan Reference'!$B$5:$B$22,0))</f>
        <v>3</v>
      </c>
      <c r="G53" s="13" t="str">
        <f aca="false">INDEX('Plan Reference'!$D$5:$D$22,MATCH(E53,'Plan Reference'!$B$5:$B$22,0))</f>
        <v>12</v>
      </c>
      <c r="H53" s="7"/>
      <c r="I53" s="7"/>
      <c r="J53" s="7"/>
    </row>
    <row r="54" customFormat="false" ht="15" hidden="false" customHeight="false" outlineLevel="0" collapsed="false">
      <c r="A54" s="10" t="n">
        <v>3</v>
      </c>
      <c r="B54" s="14" t="n">
        <f aca="false">Settings!$B$4+(A54-1)*7+4</f>
        <v>46227</v>
      </c>
      <c r="C54" s="9" t="str">
        <f aca="false">TEXT(B54,"dddd")</f>
        <v>Friday</v>
      </c>
      <c r="D54" s="9" t="s">
        <v>43</v>
      </c>
      <c r="E54" s="9" t="s">
        <v>45</v>
      </c>
      <c r="F54" s="16" t="n">
        <f aca="false">INDEX('Plan Reference'!$C$5:$C$22,MATCH(E54,'Plan Reference'!$B$5:$B$22,0))</f>
        <v>3</v>
      </c>
      <c r="G54" s="16" t="str">
        <f aca="false">INDEX('Plan Reference'!$D$5:$D$22,MATCH(E54,'Plan Reference'!$B$5:$B$22,0))</f>
        <v>10/side</v>
      </c>
      <c r="H54" s="10"/>
      <c r="I54" s="10"/>
      <c r="J54" s="10"/>
      <c r="K54" s="17"/>
    </row>
    <row r="55" customFormat="false" ht="15" hidden="false" customHeight="false" outlineLevel="0" collapsed="false">
      <c r="A55" s="7" t="n">
        <v>3</v>
      </c>
      <c r="B55" s="11" t="n">
        <f aca="false">Settings!$B$4+(A55-1)*7+4</f>
        <v>46227</v>
      </c>
      <c r="C55" s="5" t="str">
        <f aca="false">TEXT(B55,"dddd")</f>
        <v>Friday</v>
      </c>
      <c r="D55" s="5" t="s">
        <v>43</v>
      </c>
      <c r="E55" s="5" t="s">
        <v>47</v>
      </c>
      <c r="F55" s="13" t="n">
        <f aca="false">INDEX('Plan Reference'!$C$5:$C$22,MATCH(E55,'Plan Reference'!$B$5:$B$22,0))</f>
        <v>3</v>
      </c>
      <c r="G55" s="13" t="str">
        <f aca="false">INDEX('Plan Reference'!$D$5:$D$22,MATCH(E55,'Plan Reference'!$B$5:$B$22,0))</f>
        <v>10/leg</v>
      </c>
      <c r="H55" s="7"/>
      <c r="I55" s="7"/>
      <c r="J55" s="7"/>
    </row>
    <row r="56" customFormat="false" ht="15" hidden="false" customHeight="false" outlineLevel="0" collapsed="false">
      <c r="A56" s="10" t="n">
        <v>3</v>
      </c>
      <c r="B56" s="14" t="n">
        <f aca="false">Settings!$B$4+(A56-1)*7+4</f>
        <v>46227</v>
      </c>
      <c r="C56" s="9" t="str">
        <f aca="false">TEXT(B56,"dddd")</f>
        <v>Friday</v>
      </c>
      <c r="D56" s="9" t="s">
        <v>43</v>
      </c>
      <c r="E56" s="9" t="s">
        <v>48</v>
      </c>
      <c r="F56" s="16" t="n">
        <f aca="false">INDEX('Plan Reference'!$C$5:$C$22,MATCH(E56,'Plan Reference'!$B$5:$B$22,0))</f>
        <v>3</v>
      </c>
      <c r="G56" s="16" t="str">
        <f aca="false">INDEX('Plan Reference'!$D$5:$D$22,MATCH(E56,'Plan Reference'!$B$5:$B$22,0))</f>
        <v>12/side</v>
      </c>
      <c r="H56" s="10"/>
      <c r="I56" s="10"/>
      <c r="J56" s="10"/>
      <c r="K56" s="17"/>
    </row>
    <row r="57" customFormat="false" ht="15" hidden="false" customHeight="false" outlineLevel="0" collapsed="false">
      <c r="A57" s="7" t="n">
        <v>3</v>
      </c>
      <c r="B57" s="11" t="n">
        <f aca="false">Settings!$B$4+(A57-1)*7+4</f>
        <v>46227</v>
      </c>
      <c r="C57" s="5" t="str">
        <f aca="false">TEXT(B57,"dddd")</f>
        <v>Friday</v>
      </c>
      <c r="D57" s="5" t="s">
        <v>43</v>
      </c>
      <c r="E57" s="5" t="s">
        <v>49</v>
      </c>
      <c r="F57" s="13" t="n">
        <f aca="false">INDEX('Plan Reference'!$C$5:$C$22,MATCH(E57,'Plan Reference'!$B$5:$B$22,0))</f>
        <v>3</v>
      </c>
      <c r="G57" s="13" t="str">
        <f aca="false">INDEX('Plan Reference'!$D$5:$D$22,MATCH(E57,'Plan Reference'!$B$5:$B$22,0))</f>
        <v>20-30 sec/side</v>
      </c>
      <c r="H57" s="7"/>
      <c r="I57" s="7"/>
      <c r="J57" s="7"/>
    </row>
    <row r="58" customFormat="false" ht="15" hidden="false" customHeight="false" outlineLevel="0" collapsed="false">
      <c r="A58" s="10" t="n">
        <v>3</v>
      </c>
      <c r="B58" s="14" t="n">
        <f aca="false">Settings!$B$4+(A58-1)*7+4</f>
        <v>46227</v>
      </c>
      <c r="C58" s="9" t="str">
        <f aca="false">TEXT(B58,"dddd")</f>
        <v>Friday</v>
      </c>
      <c r="D58" s="9" t="s">
        <v>43</v>
      </c>
      <c r="E58" s="9" t="s">
        <v>51</v>
      </c>
      <c r="F58" s="16" t="n">
        <f aca="false">INDEX('Plan Reference'!$C$5:$C$22,MATCH(E58,'Plan Reference'!$B$5:$B$22,0))</f>
        <v>3</v>
      </c>
      <c r="G58" s="16" t="str">
        <f aca="false">INDEX('Plan Reference'!$D$5:$D$22,MATCH(E58,'Plan Reference'!$B$5:$B$22,0))</f>
        <v>30 sec</v>
      </c>
      <c r="H58" s="10"/>
      <c r="I58" s="10"/>
      <c r="J58" s="10"/>
      <c r="K58" s="17"/>
    </row>
    <row r="59" customFormat="false" ht="15" hidden="false" customHeight="false" outlineLevel="0" collapsed="false">
      <c r="A59" s="7" t="n">
        <v>4</v>
      </c>
      <c r="B59" s="11" t="n">
        <f aca="false">Settings!$B$4+(A59-1)*7+0</f>
        <v>46230</v>
      </c>
      <c r="C59" s="5" t="str">
        <f aca="false">TEXT(B59,"dddd")</f>
        <v>Monday</v>
      </c>
      <c r="D59" s="5" t="s">
        <v>24</v>
      </c>
      <c r="E59" s="5" t="s">
        <v>25</v>
      </c>
      <c r="F59" s="13" t="n">
        <f aca="false">INDEX('Plan Reference'!$C$5:$C$22,MATCH(E59,'Plan Reference'!$B$5:$B$22,0))</f>
        <v>3</v>
      </c>
      <c r="G59" s="13" t="str">
        <f aca="false">INDEX('Plan Reference'!$D$5:$D$22,MATCH(E59,'Plan Reference'!$B$5:$B$22,0))</f>
        <v>12</v>
      </c>
      <c r="H59" s="7"/>
      <c r="I59" s="7"/>
      <c r="J59" s="7"/>
    </row>
    <row r="60" customFormat="false" ht="15" hidden="false" customHeight="false" outlineLevel="0" collapsed="false">
      <c r="A60" s="10" t="n">
        <v>4</v>
      </c>
      <c r="B60" s="14" t="n">
        <f aca="false">Settings!$B$4+(A60-1)*7+0</f>
        <v>46230</v>
      </c>
      <c r="C60" s="9" t="str">
        <f aca="false">TEXT(B60,"dddd")</f>
        <v>Monday</v>
      </c>
      <c r="D60" s="9" t="s">
        <v>24</v>
      </c>
      <c r="E60" s="9" t="s">
        <v>27</v>
      </c>
      <c r="F60" s="16" t="n">
        <f aca="false">INDEX('Plan Reference'!$C$5:$C$22,MATCH(E60,'Plan Reference'!$B$5:$B$22,0))</f>
        <v>3</v>
      </c>
      <c r="G60" s="16" t="str">
        <f aca="false">INDEX('Plan Reference'!$D$5:$D$22,MATCH(E60,'Plan Reference'!$B$5:$B$22,0))</f>
        <v>12</v>
      </c>
      <c r="H60" s="10"/>
      <c r="I60" s="10"/>
      <c r="J60" s="10"/>
      <c r="K60" s="17"/>
    </row>
    <row r="61" customFormat="false" ht="15" hidden="false" customHeight="false" outlineLevel="0" collapsed="false">
      <c r="A61" s="7" t="n">
        <v>4</v>
      </c>
      <c r="B61" s="11" t="n">
        <f aca="false">Settings!$B$4+(A61-1)*7+0</f>
        <v>46230</v>
      </c>
      <c r="C61" s="5" t="str">
        <f aca="false">TEXT(B61,"dddd")</f>
        <v>Monday</v>
      </c>
      <c r="D61" s="5" t="s">
        <v>24</v>
      </c>
      <c r="E61" s="5" t="s">
        <v>28</v>
      </c>
      <c r="F61" s="13" t="n">
        <f aca="false">INDEX('Plan Reference'!$C$5:$C$22,MATCH(E61,'Plan Reference'!$B$5:$B$22,0))</f>
        <v>3</v>
      </c>
      <c r="G61" s="13" t="str">
        <f aca="false">INDEX('Plan Reference'!$D$5:$D$22,MATCH(E61,'Plan Reference'!$B$5:$B$22,0))</f>
        <v>10/leg</v>
      </c>
      <c r="H61" s="7"/>
      <c r="I61" s="7"/>
      <c r="J61" s="7"/>
    </row>
    <row r="62" customFormat="false" ht="15" hidden="false" customHeight="false" outlineLevel="0" collapsed="false">
      <c r="A62" s="10" t="n">
        <v>4</v>
      </c>
      <c r="B62" s="14" t="n">
        <f aca="false">Settings!$B$4+(A62-1)*7+0</f>
        <v>46230</v>
      </c>
      <c r="C62" s="9" t="str">
        <f aca="false">TEXT(B62,"dddd")</f>
        <v>Monday</v>
      </c>
      <c r="D62" s="9" t="s">
        <v>24</v>
      </c>
      <c r="E62" s="9" t="s">
        <v>30</v>
      </c>
      <c r="F62" s="16" t="n">
        <f aca="false">INDEX('Plan Reference'!$C$5:$C$22,MATCH(E62,'Plan Reference'!$B$5:$B$22,0))</f>
        <v>3</v>
      </c>
      <c r="G62" s="16" t="str">
        <f aca="false">INDEX('Plan Reference'!$D$5:$D$22,MATCH(E62,'Plan Reference'!$B$5:$B$22,0))</f>
        <v>15</v>
      </c>
      <c r="H62" s="10"/>
      <c r="I62" s="10"/>
      <c r="J62" s="10"/>
      <c r="K62" s="17"/>
    </row>
    <row r="63" customFormat="false" ht="15" hidden="false" customHeight="false" outlineLevel="0" collapsed="false">
      <c r="A63" s="7" t="n">
        <v>4</v>
      </c>
      <c r="B63" s="11" t="n">
        <f aca="false">Settings!$B$4+(A63-1)*7+0</f>
        <v>46230</v>
      </c>
      <c r="C63" s="5" t="str">
        <f aca="false">TEXT(B63,"dddd")</f>
        <v>Monday</v>
      </c>
      <c r="D63" s="5" t="s">
        <v>24</v>
      </c>
      <c r="E63" s="5" t="s">
        <v>32</v>
      </c>
      <c r="F63" s="13" t="n">
        <f aca="false">INDEX('Plan Reference'!$C$5:$C$22,MATCH(E63,'Plan Reference'!$B$5:$B$22,0))</f>
        <v>3</v>
      </c>
      <c r="G63" s="13" t="str">
        <f aca="false">INDEX('Plan Reference'!$D$5:$D$22,MATCH(E63,'Plan Reference'!$B$5:$B$22,0))</f>
        <v>30-45 sec</v>
      </c>
      <c r="H63" s="7"/>
      <c r="I63" s="7"/>
      <c r="J63" s="7"/>
    </row>
    <row r="64" customFormat="false" ht="15" hidden="false" customHeight="false" outlineLevel="0" collapsed="false">
      <c r="A64" s="10" t="n">
        <v>4</v>
      </c>
      <c r="B64" s="14" t="n">
        <f aca="false">Settings!$B$4+(A64-1)*7+0</f>
        <v>46230</v>
      </c>
      <c r="C64" s="9" t="str">
        <f aca="false">TEXT(B64,"dddd")</f>
        <v>Monday</v>
      </c>
      <c r="D64" s="9" t="s">
        <v>24</v>
      </c>
      <c r="E64" s="9" t="s">
        <v>34</v>
      </c>
      <c r="F64" s="16" t="n">
        <f aca="false">INDEX('Plan Reference'!$C$5:$C$22,MATCH(E64,'Plan Reference'!$B$5:$B$22,0))</f>
        <v>3</v>
      </c>
      <c r="G64" s="16" t="str">
        <f aca="false">INDEX('Plan Reference'!$D$5:$D$22,MATCH(E64,'Plan Reference'!$B$5:$B$22,0))</f>
        <v>15</v>
      </c>
      <c r="H64" s="10"/>
      <c r="I64" s="10"/>
      <c r="J64" s="10"/>
      <c r="K64" s="17"/>
    </row>
    <row r="65" customFormat="false" ht="15" hidden="false" customHeight="false" outlineLevel="0" collapsed="false">
      <c r="A65" s="7" t="n">
        <v>4</v>
      </c>
      <c r="B65" s="11" t="n">
        <f aca="false">Settings!$B$4+(A65-1)*7+2</f>
        <v>46232</v>
      </c>
      <c r="C65" s="5" t="str">
        <f aca="false">TEXT(B65,"dddd")</f>
        <v>Wednesday</v>
      </c>
      <c r="D65" s="5" t="s">
        <v>35</v>
      </c>
      <c r="E65" s="5" t="s">
        <v>36</v>
      </c>
      <c r="F65" s="13" t="n">
        <f aca="false">INDEX('Plan Reference'!$C$5:$C$22,MATCH(E65,'Plan Reference'!$B$5:$B$22,0))</f>
        <v>3</v>
      </c>
      <c r="G65" s="13" t="str">
        <f aca="false">INDEX('Plan Reference'!$D$5:$D$22,MATCH(E65,'Plan Reference'!$B$5:$B$22,0))</f>
        <v>12</v>
      </c>
      <c r="H65" s="7"/>
      <c r="I65" s="7"/>
      <c r="J65" s="7"/>
    </row>
    <row r="66" customFormat="false" ht="15" hidden="false" customHeight="false" outlineLevel="0" collapsed="false">
      <c r="A66" s="10" t="n">
        <v>4</v>
      </c>
      <c r="B66" s="14" t="n">
        <f aca="false">Settings!$B$4+(A66-1)*7+2</f>
        <v>46232</v>
      </c>
      <c r="C66" s="9" t="str">
        <f aca="false">TEXT(B66,"dddd")</f>
        <v>Wednesday</v>
      </c>
      <c r="D66" s="9" t="s">
        <v>35</v>
      </c>
      <c r="E66" s="9" t="s">
        <v>37</v>
      </c>
      <c r="F66" s="16" t="n">
        <f aca="false">INDEX('Plan Reference'!$C$5:$C$22,MATCH(E66,'Plan Reference'!$B$5:$B$22,0))</f>
        <v>3</v>
      </c>
      <c r="G66" s="16" t="str">
        <f aca="false">INDEX('Plan Reference'!$D$5:$D$22,MATCH(E66,'Plan Reference'!$B$5:$B$22,0))</f>
        <v>12</v>
      </c>
      <c r="H66" s="10"/>
      <c r="I66" s="10"/>
      <c r="J66" s="10"/>
      <c r="K66" s="17"/>
    </row>
    <row r="67" customFormat="false" ht="15" hidden="false" customHeight="false" outlineLevel="0" collapsed="false">
      <c r="A67" s="7" t="n">
        <v>4</v>
      </c>
      <c r="B67" s="11" t="n">
        <f aca="false">Settings!$B$4+(A67-1)*7+2</f>
        <v>46232</v>
      </c>
      <c r="C67" s="5" t="str">
        <f aca="false">TEXT(B67,"dddd")</f>
        <v>Wednesday</v>
      </c>
      <c r="D67" s="5" t="s">
        <v>35</v>
      </c>
      <c r="E67" s="5" t="s">
        <v>38</v>
      </c>
      <c r="F67" s="13" t="n">
        <f aca="false">INDEX('Plan Reference'!$C$5:$C$22,MATCH(E67,'Plan Reference'!$B$5:$B$22,0))</f>
        <v>3</v>
      </c>
      <c r="G67" s="13" t="str">
        <f aca="false">INDEX('Plan Reference'!$D$5:$D$22,MATCH(E67,'Plan Reference'!$B$5:$B$22,0))</f>
        <v>12</v>
      </c>
      <c r="H67" s="7"/>
      <c r="I67" s="7"/>
      <c r="J67" s="7"/>
    </row>
    <row r="68" customFormat="false" ht="15" hidden="false" customHeight="false" outlineLevel="0" collapsed="false">
      <c r="A68" s="10" t="n">
        <v>4</v>
      </c>
      <c r="B68" s="14" t="n">
        <f aca="false">Settings!$B$4+(A68-1)*7+2</f>
        <v>46232</v>
      </c>
      <c r="C68" s="9" t="str">
        <f aca="false">TEXT(B68,"dddd")</f>
        <v>Wednesday</v>
      </c>
      <c r="D68" s="9" t="s">
        <v>35</v>
      </c>
      <c r="E68" s="9" t="s">
        <v>39</v>
      </c>
      <c r="F68" s="16" t="n">
        <f aca="false">INDEX('Plan Reference'!$C$5:$C$22,MATCH(E68,'Plan Reference'!$B$5:$B$22,0))</f>
        <v>3</v>
      </c>
      <c r="G68" s="16" t="str">
        <f aca="false">INDEX('Plan Reference'!$D$5:$D$22,MATCH(E68,'Plan Reference'!$B$5:$B$22,0))</f>
        <v>15</v>
      </c>
      <c r="H68" s="10"/>
      <c r="I68" s="10"/>
      <c r="J68" s="10"/>
      <c r="K68" s="17"/>
    </row>
    <row r="69" customFormat="false" ht="15" hidden="false" customHeight="false" outlineLevel="0" collapsed="false">
      <c r="A69" s="7" t="n">
        <v>4</v>
      </c>
      <c r="B69" s="11" t="n">
        <f aca="false">Settings!$B$4+(A69-1)*7+2</f>
        <v>46232</v>
      </c>
      <c r="C69" s="5" t="str">
        <f aca="false">TEXT(B69,"dddd")</f>
        <v>Wednesday</v>
      </c>
      <c r="D69" s="5" t="s">
        <v>35</v>
      </c>
      <c r="E69" s="5" t="s">
        <v>40</v>
      </c>
      <c r="F69" s="13" t="n">
        <f aca="false">INDEX('Plan Reference'!$C$5:$C$22,MATCH(E69,'Plan Reference'!$B$5:$B$22,0))</f>
        <v>3</v>
      </c>
      <c r="G69" s="13" t="str">
        <f aca="false">INDEX('Plan Reference'!$D$5:$D$22,MATCH(E69,'Plan Reference'!$B$5:$B$22,0))</f>
        <v>12</v>
      </c>
      <c r="H69" s="7"/>
      <c r="I69" s="7"/>
      <c r="J69" s="7"/>
    </row>
    <row r="70" customFormat="false" ht="15" hidden="false" customHeight="false" outlineLevel="0" collapsed="false">
      <c r="A70" s="10" t="n">
        <v>4</v>
      </c>
      <c r="B70" s="14" t="n">
        <f aca="false">Settings!$B$4+(A70-1)*7+2</f>
        <v>46232</v>
      </c>
      <c r="C70" s="9" t="str">
        <f aca="false">TEXT(B70,"dddd")</f>
        <v>Wednesday</v>
      </c>
      <c r="D70" s="9" t="s">
        <v>35</v>
      </c>
      <c r="E70" s="9" t="s">
        <v>41</v>
      </c>
      <c r="F70" s="16" t="n">
        <f aca="false">INDEX('Plan Reference'!$C$5:$C$22,MATCH(E70,'Plan Reference'!$B$5:$B$22,0))</f>
        <v>3</v>
      </c>
      <c r="G70" s="16" t="str">
        <f aca="false">INDEX('Plan Reference'!$D$5:$D$22,MATCH(E70,'Plan Reference'!$B$5:$B$22,0))</f>
        <v>12/side</v>
      </c>
      <c r="H70" s="10"/>
      <c r="I70" s="10"/>
      <c r="J70" s="10"/>
      <c r="K70" s="17"/>
    </row>
    <row r="71" customFormat="false" ht="15" hidden="false" customHeight="false" outlineLevel="0" collapsed="false">
      <c r="A71" s="7" t="n">
        <v>4</v>
      </c>
      <c r="B71" s="11" t="n">
        <f aca="false">Settings!$B$4+(A71-1)*7+4</f>
        <v>46234</v>
      </c>
      <c r="C71" s="5" t="str">
        <f aca="false">TEXT(B71,"dddd")</f>
        <v>Friday</v>
      </c>
      <c r="D71" s="5" t="s">
        <v>43</v>
      </c>
      <c r="E71" s="5" t="s">
        <v>44</v>
      </c>
      <c r="F71" s="13" t="n">
        <f aca="false">INDEX('Plan Reference'!$C$5:$C$22,MATCH(E71,'Plan Reference'!$B$5:$B$22,0))</f>
        <v>3</v>
      </c>
      <c r="G71" s="13" t="str">
        <f aca="false">INDEX('Plan Reference'!$D$5:$D$22,MATCH(E71,'Plan Reference'!$B$5:$B$22,0))</f>
        <v>12</v>
      </c>
      <c r="H71" s="7"/>
      <c r="I71" s="7"/>
      <c r="J71" s="7"/>
    </row>
    <row r="72" customFormat="false" ht="15" hidden="false" customHeight="false" outlineLevel="0" collapsed="false">
      <c r="A72" s="10" t="n">
        <v>4</v>
      </c>
      <c r="B72" s="14" t="n">
        <f aca="false">Settings!$B$4+(A72-1)*7+4</f>
        <v>46234</v>
      </c>
      <c r="C72" s="9" t="str">
        <f aca="false">TEXT(B72,"dddd")</f>
        <v>Friday</v>
      </c>
      <c r="D72" s="9" t="s">
        <v>43</v>
      </c>
      <c r="E72" s="9" t="s">
        <v>45</v>
      </c>
      <c r="F72" s="16" t="n">
        <f aca="false">INDEX('Plan Reference'!$C$5:$C$22,MATCH(E72,'Plan Reference'!$B$5:$B$22,0))</f>
        <v>3</v>
      </c>
      <c r="G72" s="16" t="str">
        <f aca="false">INDEX('Plan Reference'!$D$5:$D$22,MATCH(E72,'Plan Reference'!$B$5:$B$22,0))</f>
        <v>10/side</v>
      </c>
      <c r="H72" s="10"/>
      <c r="I72" s="10"/>
      <c r="J72" s="10"/>
      <c r="K72" s="17"/>
    </row>
    <row r="73" customFormat="false" ht="15" hidden="false" customHeight="false" outlineLevel="0" collapsed="false">
      <c r="A73" s="7" t="n">
        <v>4</v>
      </c>
      <c r="B73" s="11" t="n">
        <f aca="false">Settings!$B$4+(A73-1)*7+4</f>
        <v>46234</v>
      </c>
      <c r="C73" s="5" t="str">
        <f aca="false">TEXT(B73,"dddd")</f>
        <v>Friday</v>
      </c>
      <c r="D73" s="5" t="s">
        <v>43</v>
      </c>
      <c r="E73" s="5" t="s">
        <v>47</v>
      </c>
      <c r="F73" s="13" t="n">
        <f aca="false">INDEX('Plan Reference'!$C$5:$C$22,MATCH(E73,'Plan Reference'!$B$5:$B$22,0))</f>
        <v>3</v>
      </c>
      <c r="G73" s="13" t="str">
        <f aca="false">INDEX('Plan Reference'!$D$5:$D$22,MATCH(E73,'Plan Reference'!$B$5:$B$22,0))</f>
        <v>10/leg</v>
      </c>
      <c r="H73" s="7"/>
      <c r="I73" s="7"/>
      <c r="J73" s="7"/>
    </row>
    <row r="74" customFormat="false" ht="15" hidden="false" customHeight="false" outlineLevel="0" collapsed="false">
      <c r="A74" s="10" t="n">
        <v>4</v>
      </c>
      <c r="B74" s="14" t="n">
        <f aca="false">Settings!$B$4+(A74-1)*7+4</f>
        <v>46234</v>
      </c>
      <c r="C74" s="9" t="str">
        <f aca="false">TEXT(B74,"dddd")</f>
        <v>Friday</v>
      </c>
      <c r="D74" s="9" t="s">
        <v>43</v>
      </c>
      <c r="E74" s="9" t="s">
        <v>48</v>
      </c>
      <c r="F74" s="16" t="n">
        <f aca="false">INDEX('Plan Reference'!$C$5:$C$22,MATCH(E74,'Plan Reference'!$B$5:$B$22,0))</f>
        <v>3</v>
      </c>
      <c r="G74" s="16" t="str">
        <f aca="false">INDEX('Plan Reference'!$D$5:$D$22,MATCH(E74,'Plan Reference'!$B$5:$B$22,0))</f>
        <v>12/side</v>
      </c>
      <c r="H74" s="10"/>
      <c r="I74" s="10"/>
      <c r="J74" s="10"/>
      <c r="K74" s="17"/>
    </row>
    <row r="75" customFormat="false" ht="15" hidden="false" customHeight="false" outlineLevel="0" collapsed="false">
      <c r="A75" s="7" t="n">
        <v>4</v>
      </c>
      <c r="B75" s="11" t="n">
        <f aca="false">Settings!$B$4+(A75-1)*7+4</f>
        <v>46234</v>
      </c>
      <c r="C75" s="5" t="str">
        <f aca="false">TEXT(B75,"dddd")</f>
        <v>Friday</v>
      </c>
      <c r="D75" s="5" t="s">
        <v>43</v>
      </c>
      <c r="E75" s="5" t="s">
        <v>49</v>
      </c>
      <c r="F75" s="13" t="n">
        <f aca="false">INDEX('Plan Reference'!$C$5:$C$22,MATCH(E75,'Plan Reference'!$B$5:$B$22,0))</f>
        <v>3</v>
      </c>
      <c r="G75" s="13" t="str">
        <f aca="false">INDEX('Plan Reference'!$D$5:$D$22,MATCH(E75,'Plan Reference'!$B$5:$B$22,0))</f>
        <v>20-30 sec/side</v>
      </c>
      <c r="H75" s="7"/>
      <c r="I75" s="7"/>
      <c r="J75" s="7"/>
    </row>
    <row r="76" customFormat="false" ht="15" hidden="false" customHeight="false" outlineLevel="0" collapsed="false">
      <c r="A76" s="10" t="n">
        <v>4</v>
      </c>
      <c r="B76" s="14" t="n">
        <f aca="false">Settings!$B$4+(A76-1)*7+4</f>
        <v>46234</v>
      </c>
      <c r="C76" s="9" t="str">
        <f aca="false">TEXT(B76,"dddd")</f>
        <v>Friday</v>
      </c>
      <c r="D76" s="9" t="s">
        <v>43</v>
      </c>
      <c r="E76" s="9" t="s">
        <v>51</v>
      </c>
      <c r="F76" s="16" t="n">
        <f aca="false">INDEX('Plan Reference'!$C$5:$C$22,MATCH(E76,'Plan Reference'!$B$5:$B$22,0))</f>
        <v>3</v>
      </c>
      <c r="G76" s="16" t="str">
        <f aca="false">INDEX('Plan Reference'!$D$5:$D$22,MATCH(E76,'Plan Reference'!$B$5:$B$22,0))</f>
        <v>30 sec</v>
      </c>
      <c r="H76" s="10"/>
      <c r="I76" s="10"/>
      <c r="J76" s="10"/>
      <c r="K76" s="17"/>
    </row>
    <row r="77" customFormat="false" ht="15" hidden="false" customHeight="false" outlineLevel="0" collapsed="false">
      <c r="A77" s="7" t="n">
        <v>5</v>
      </c>
      <c r="B77" s="11" t="n">
        <f aca="false">Settings!$B$4+(A77-1)*7+0</f>
        <v>46237</v>
      </c>
      <c r="C77" s="5" t="str">
        <f aca="false">TEXT(B77,"dddd")</f>
        <v>Monday</v>
      </c>
      <c r="D77" s="5" t="s">
        <v>24</v>
      </c>
      <c r="E77" s="5" t="s">
        <v>25</v>
      </c>
      <c r="F77" s="13" t="n">
        <f aca="false">INDEX('Plan Reference'!$C$5:$C$22,MATCH(E77,'Plan Reference'!$B$5:$B$22,0))</f>
        <v>3</v>
      </c>
      <c r="G77" s="13" t="str">
        <f aca="false">INDEX('Plan Reference'!$D$5:$D$22,MATCH(E77,'Plan Reference'!$B$5:$B$22,0))</f>
        <v>12</v>
      </c>
      <c r="H77" s="7"/>
      <c r="I77" s="7"/>
      <c r="J77" s="7"/>
    </row>
    <row r="78" customFormat="false" ht="15" hidden="false" customHeight="false" outlineLevel="0" collapsed="false">
      <c r="A78" s="10" t="n">
        <v>5</v>
      </c>
      <c r="B78" s="14" t="n">
        <f aca="false">Settings!$B$4+(A78-1)*7+0</f>
        <v>46237</v>
      </c>
      <c r="C78" s="9" t="str">
        <f aca="false">TEXT(B78,"dddd")</f>
        <v>Monday</v>
      </c>
      <c r="D78" s="9" t="s">
        <v>24</v>
      </c>
      <c r="E78" s="9" t="s">
        <v>27</v>
      </c>
      <c r="F78" s="16" t="n">
        <f aca="false">INDEX('Plan Reference'!$C$5:$C$22,MATCH(E78,'Plan Reference'!$B$5:$B$22,0))</f>
        <v>3</v>
      </c>
      <c r="G78" s="16" t="str">
        <f aca="false">INDEX('Plan Reference'!$D$5:$D$22,MATCH(E78,'Plan Reference'!$B$5:$B$22,0))</f>
        <v>12</v>
      </c>
      <c r="H78" s="10"/>
      <c r="I78" s="10"/>
      <c r="J78" s="10"/>
      <c r="K78" s="17"/>
    </row>
    <row r="79" customFormat="false" ht="15" hidden="false" customHeight="false" outlineLevel="0" collapsed="false">
      <c r="A79" s="7" t="n">
        <v>5</v>
      </c>
      <c r="B79" s="11" t="n">
        <f aca="false">Settings!$B$4+(A79-1)*7+0</f>
        <v>46237</v>
      </c>
      <c r="C79" s="5" t="str">
        <f aca="false">TEXT(B79,"dddd")</f>
        <v>Monday</v>
      </c>
      <c r="D79" s="5" t="s">
        <v>24</v>
      </c>
      <c r="E79" s="5" t="s">
        <v>28</v>
      </c>
      <c r="F79" s="13" t="n">
        <f aca="false">INDEX('Plan Reference'!$C$5:$C$22,MATCH(E79,'Plan Reference'!$B$5:$B$22,0))</f>
        <v>3</v>
      </c>
      <c r="G79" s="13" t="str">
        <f aca="false">INDEX('Plan Reference'!$D$5:$D$22,MATCH(E79,'Plan Reference'!$B$5:$B$22,0))</f>
        <v>10/leg</v>
      </c>
      <c r="H79" s="7"/>
      <c r="I79" s="7"/>
      <c r="J79" s="7"/>
    </row>
    <row r="80" customFormat="false" ht="15" hidden="false" customHeight="false" outlineLevel="0" collapsed="false">
      <c r="A80" s="10" t="n">
        <v>5</v>
      </c>
      <c r="B80" s="14" t="n">
        <f aca="false">Settings!$B$4+(A80-1)*7+0</f>
        <v>46237</v>
      </c>
      <c r="C80" s="9" t="str">
        <f aca="false">TEXT(B80,"dddd")</f>
        <v>Monday</v>
      </c>
      <c r="D80" s="9" t="s">
        <v>24</v>
      </c>
      <c r="E80" s="9" t="s">
        <v>30</v>
      </c>
      <c r="F80" s="16" t="n">
        <f aca="false">INDEX('Plan Reference'!$C$5:$C$22,MATCH(E80,'Plan Reference'!$B$5:$B$22,0))</f>
        <v>3</v>
      </c>
      <c r="G80" s="16" t="str">
        <f aca="false">INDEX('Plan Reference'!$D$5:$D$22,MATCH(E80,'Plan Reference'!$B$5:$B$22,0))</f>
        <v>15</v>
      </c>
      <c r="H80" s="10"/>
      <c r="I80" s="10"/>
      <c r="J80" s="10"/>
      <c r="K80" s="17"/>
    </row>
    <row r="81" customFormat="false" ht="15" hidden="false" customHeight="false" outlineLevel="0" collapsed="false">
      <c r="A81" s="7" t="n">
        <v>5</v>
      </c>
      <c r="B81" s="11" t="n">
        <f aca="false">Settings!$B$4+(A81-1)*7+0</f>
        <v>46237</v>
      </c>
      <c r="C81" s="5" t="str">
        <f aca="false">TEXT(B81,"dddd")</f>
        <v>Monday</v>
      </c>
      <c r="D81" s="5" t="s">
        <v>24</v>
      </c>
      <c r="E81" s="5" t="s">
        <v>32</v>
      </c>
      <c r="F81" s="13" t="n">
        <f aca="false">INDEX('Plan Reference'!$C$5:$C$22,MATCH(E81,'Plan Reference'!$B$5:$B$22,0))</f>
        <v>3</v>
      </c>
      <c r="G81" s="13" t="str">
        <f aca="false">INDEX('Plan Reference'!$D$5:$D$22,MATCH(E81,'Plan Reference'!$B$5:$B$22,0))</f>
        <v>30-45 sec</v>
      </c>
      <c r="H81" s="7"/>
      <c r="I81" s="7"/>
      <c r="J81" s="7"/>
    </row>
    <row r="82" customFormat="false" ht="15" hidden="false" customHeight="false" outlineLevel="0" collapsed="false">
      <c r="A82" s="10" t="n">
        <v>5</v>
      </c>
      <c r="B82" s="14" t="n">
        <f aca="false">Settings!$B$4+(A82-1)*7+0</f>
        <v>46237</v>
      </c>
      <c r="C82" s="9" t="str">
        <f aca="false">TEXT(B82,"dddd")</f>
        <v>Monday</v>
      </c>
      <c r="D82" s="9" t="s">
        <v>24</v>
      </c>
      <c r="E82" s="9" t="s">
        <v>34</v>
      </c>
      <c r="F82" s="16" t="n">
        <f aca="false">INDEX('Plan Reference'!$C$5:$C$22,MATCH(E82,'Plan Reference'!$B$5:$B$22,0))</f>
        <v>3</v>
      </c>
      <c r="G82" s="16" t="str">
        <f aca="false">INDEX('Plan Reference'!$D$5:$D$22,MATCH(E82,'Plan Reference'!$B$5:$B$22,0))</f>
        <v>15</v>
      </c>
      <c r="H82" s="10"/>
      <c r="I82" s="10"/>
      <c r="J82" s="10"/>
      <c r="K82" s="17"/>
    </row>
    <row r="83" customFormat="false" ht="15" hidden="false" customHeight="false" outlineLevel="0" collapsed="false">
      <c r="A83" s="7" t="n">
        <v>5</v>
      </c>
      <c r="B83" s="11" t="n">
        <f aca="false">Settings!$B$4+(A83-1)*7+2</f>
        <v>46239</v>
      </c>
      <c r="C83" s="5" t="str">
        <f aca="false">TEXT(B83,"dddd")</f>
        <v>Wednesday</v>
      </c>
      <c r="D83" s="5" t="s">
        <v>35</v>
      </c>
      <c r="E83" s="5" t="s">
        <v>36</v>
      </c>
      <c r="F83" s="13" t="n">
        <f aca="false">INDEX('Plan Reference'!$C$5:$C$22,MATCH(E83,'Plan Reference'!$B$5:$B$22,0))</f>
        <v>3</v>
      </c>
      <c r="G83" s="13" t="str">
        <f aca="false">INDEX('Plan Reference'!$D$5:$D$22,MATCH(E83,'Plan Reference'!$B$5:$B$22,0))</f>
        <v>12</v>
      </c>
      <c r="H83" s="7"/>
      <c r="I83" s="7"/>
      <c r="J83" s="7"/>
    </row>
    <row r="84" customFormat="false" ht="15" hidden="false" customHeight="false" outlineLevel="0" collapsed="false">
      <c r="A84" s="10" t="n">
        <v>5</v>
      </c>
      <c r="B84" s="14" t="n">
        <f aca="false">Settings!$B$4+(A84-1)*7+2</f>
        <v>46239</v>
      </c>
      <c r="C84" s="9" t="str">
        <f aca="false">TEXT(B84,"dddd")</f>
        <v>Wednesday</v>
      </c>
      <c r="D84" s="9" t="s">
        <v>35</v>
      </c>
      <c r="E84" s="9" t="s">
        <v>37</v>
      </c>
      <c r="F84" s="16" t="n">
        <f aca="false">INDEX('Plan Reference'!$C$5:$C$22,MATCH(E84,'Plan Reference'!$B$5:$B$22,0))</f>
        <v>3</v>
      </c>
      <c r="G84" s="16" t="str">
        <f aca="false">INDEX('Plan Reference'!$D$5:$D$22,MATCH(E84,'Plan Reference'!$B$5:$B$22,0))</f>
        <v>12</v>
      </c>
      <c r="H84" s="10"/>
      <c r="I84" s="10"/>
      <c r="J84" s="10"/>
      <c r="K84" s="17"/>
    </row>
    <row r="85" customFormat="false" ht="15" hidden="false" customHeight="false" outlineLevel="0" collapsed="false">
      <c r="A85" s="7" t="n">
        <v>5</v>
      </c>
      <c r="B85" s="11" t="n">
        <f aca="false">Settings!$B$4+(A85-1)*7+2</f>
        <v>46239</v>
      </c>
      <c r="C85" s="5" t="str">
        <f aca="false">TEXT(B85,"dddd")</f>
        <v>Wednesday</v>
      </c>
      <c r="D85" s="5" t="s">
        <v>35</v>
      </c>
      <c r="E85" s="5" t="s">
        <v>38</v>
      </c>
      <c r="F85" s="13" t="n">
        <f aca="false">INDEX('Plan Reference'!$C$5:$C$22,MATCH(E85,'Plan Reference'!$B$5:$B$22,0))</f>
        <v>3</v>
      </c>
      <c r="G85" s="13" t="str">
        <f aca="false">INDEX('Plan Reference'!$D$5:$D$22,MATCH(E85,'Plan Reference'!$B$5:$B$22,0))</f>
        <v>12</v>
      </c>
      <c r="H85" s="7"/>
      <c r="I85" s="7"/>
      <c r="J85" s="7"/>
    </row>
    <row r="86" customFormat="false" ht="15" hidden="false" customHeight="false" outlineLevel="0" collapsed="false">
      <c r="A86" s="10" t="n">
        <v>5</v>
      </c>
      <c r="B86" s="14" t="n">
        <f aca="false">Settings!$B$4+(A86-1)*7+2</f>
        <v>46239</v>
      </c>
      <c r="C86" s="9" t="str">
        <f aca="false">TEXT(B86,"dddd")</f>
        <v>Wednesday</v>
      </c>
      <c r="D86" s="9" t="s">
        <v>35</v>
      </c>
      <c r="E86" s="9" t="s">
        <v>39</v>
      </c>
      <c r="F86" s="16" t="n">
        <f aca="false">INDEX('Plan Reference'!$C$5:$C$22,MATCH(E86,'Plan Reference'!$B$5:$B$22,0))</f>
        <v>3</v>
      </c>
      <c r="G86" s="16" t="str">
        <f aca="false">INDEX('Plan Reference'!$D$5:$D$22,MATCH(E86,'Plan Reference'!$B$5:$B$22,0))</f>
        <v>15</v>
      </c>
      <c r="H86" s="10"/>
      <c r="I86" s="10"/>
      <c r="J86" s="10"/>
      <c r="K86" s="17"/>
    </row>
    <row r="87" customFormat="false" ht="15" hidden="false" customHeight="false" outlineLevel="0" collapsed="false">
      <c r="A87" s="7" t="n">
        <v>5</v>
      </c>
      <c r="B87" s="11" t="n">
        <f aca="false">Settings!$B$4+(A87-1)*7+2</f>
        <v>46239</v>
      </c>
      <c r="C87" s="5" t="str">
        <f aca="false">TEXT(B87,"dddd")</f>
        <v>Wednesday</v>
      </c>
      <c r="D87" s="5" t="s">
        <v>35</v>
      </c>
      <c r="E87" s="5" t="s">
        <v>40</v>
      </c>
      <c r="F87" s="13" t="n">
        <f aca="false">INDEX('Plan Reference'!$C$5:$C$22,MATCH(E87,'Plan Reference'!$B$5:$B$22,0))</f>
        <v>3</v>
      </c>
      <c r="G87" s="13" t="str">
        <f aca="false">INDEX('Plan Reference'!$D$5:$D$22,MATCH(E87,'Plan Reference'!$B$5:$B$22,0))</f>
        <v>12</v>
      </c>
      <c r="H87" s="7"/>
      <c r="I87" s="7"/>
      <c r="J87" s="7"/>
    </row>
    <row r="88" customFormat="false" ht="15" hidden="false" customHeight="false" outlineLevel="0" collapsed="false">
      <c r="A88" s="10" t="n">
        <v>5</v>
      </c>
      <c r="B88" s="14" t="n">
        <f aca="false">Settings!$B$4+(A88-1)*7+2</f>
        <v>46239</v>
      </c>
      <c r="C88" s="9" t="str">
        <f aca="false">TEXT(B88,"dddd")</f>
        <v>Wednesday</v>
      </c>
      <c r="D88" s="9" t="s">
        <v>35</v>
      </c>
      <c r="E88" s="9" t="s">
        <v>41</v>
      </c>
      <c r="F88" s="16" t="n">
        <f aca="false">INDEX('Plan Reference'!$C$5:$C$22,MATCH(E88,'Plan Reference'!$B$5:$B$22,0))</f>
        <v>3</v>
      </c>
      <c r="G88" s="16" t="str">
        <f aca="false">INDEX('Plan Reference'!$D$5:$D$22,MATCH(E88,'Plan Reference'!$B$5:$B$22,0))</f>
        <v>12/side</v>
      </c>
      <c r="H88" s="10"/>
      <c r="I88" s="10"/>
      <c r="J88" s="10"/>
      <c r="K88" s="17"/>
    </row>
    <row r="89" customFormat="false" ht="15" hidden="false" customHeight="false" outlineLevel="0" collapsed="false">
      <c r="A89" s="7" t="n">
        <v>5</v>
      </c>
      <c r="B89" s="11" t="n">
        <f aca="false">Settings!$B$4+(A89-1)*7+4</f>
        <v>46241</v>
      </c>
      <c r="C89" s="5" t="str">
        <f aca="false">TEXT(B89,"dddd")</f>
        <v>Friday</v>
      </c>
      <c r="D89" s="5" t="s">
        <v>43</v>
      </c>
      <c r="E89" s="5" t="s">
        <v>44</v>
      </c>
      <c r="F89" s="13" t="n">
        <f aca="false">INDEX('Plan Reference'!$C$5:$C$22,MATCH(E89,'Plan Reference'!$B$5:$B$22,0))</f>
        <v>3</v>
      </c>
      <c r="G89" s="13" t="str">
        <f aca="false">INDEX('Plan Reference'!$D$5:$D$22,MATCH(E89,'Plan Reference'!$B$5:$B$22,0))</f>
        <v>12</v>
      </c>
      <c r="H89" s="7"/>
      <c r="I89" s="7"/>
      <c r="J89" s="7"/>
    </row>
    <row r="90" customFormat="false" ht="15" hidden="false" customHeight="false" outlineLevel="0" collapsed="false">
      <c r="A90" s="10" t="n">
        <v>5</v>
      </c>
      <c r="B90" s="14" t="n">
        <f aca="false">Settings!$B$4+(A90-1)*7+4</f>
        <v>46241</v>
      </c>
      <c r="C90" s="9" t="str">
        <f aca="false">TEXT(B90,"dddd")</f>
        <v>Friday</v>
      </c>
      <c r="D90" s="9" t="s">
        <v>43</v>
      </c>
      <c r="E90" s="9" t="s">
        <v>45</v>
      </c>
      <c r="F90" s="16" t="n">
        <f aca="false">INDEX('Plan Reference'!$C$5:$C$22,MATCH(E90,'Plan Reference'!$B$5:$B$22,0))</f>
        <v>3</v>
      </c>
      <c r="G90" s="16" t="str">
        <f aca="false">INDEX('Plan Reference'!$D$5:$D$22,MATCH(E90,'Plan Reference'!$B$5:$B$22,0))</f>
        <v>10/side</v>
      </c>
      <c r="H90" s="10"/>
      <c r="I90" s="10"/>
      <c r="J90" s="10"/>
      <c r="K90" s="17"/>
    </row>
    <row r="91" customFormat="false" ht="15" hidden="false" customHeight="false" outlineLevel="0" collapsed="false">
      <c r="A91" s="7" t="n">
        <v>5</v>
      </c>
      <c r="B91" s="11" t="n">
        <f aca="false">Settings!$B$4+(A91-1)*7+4</f>
        <v>46241</v>
      </c>
      <c r="C91" s="5" t="str">
        <f aca="false">TEXT(B91,"dddd")</f>
        <v>Friday</v>
      </c>
      <c r="D91" s="5" t="s">
        <v>43</v>
      </c>
      <c r="E91" s="5" t="s">
        <v>47</v>
      </c>
      <c r="F91" s="13" t="n">
        <f aca="false">INDEX('Plan Reference'!$C$5:$C$22,MATCH(E91,'Plan Reference'!$B$5:$B$22,0))</f>
        <v>3</v>
      </c>
      <c r="G91" s="13" t="str">
        <f aca="false">INDEX('Plan Reference'!$D$5:$D$22,MATCH(E91,'Plan Reference'!$B$5:$B$22,0))</f>
        <v>10/leg</v>
      </c>
      <c r="H91" s="7"/>
      <c r="I91" s="7"/>
      <c r="J91" s="7"/>
    </row>
    <row r="92" customFormat="false" ht="15" hidden="false" customHeight="false" outlineLevel="0" collapsed="false">
      <c r="A92" s="10" t="n">
        <v>5</v>
      </c>
      <c r="B92" s="14" t="n">
        <f aca="false">Settings!$B$4+(A92-1)*7+4</f>
        <v>46241</v>
      </c>
      <c r="C92" s="9" t="str">
        <f aca="false">TEXT(B92,"dddd")</f>
        <v>Friday</v>
      </c>
      <c r="D92" s="9" t="s">
        <v>43</v>
      </c>
      <c r="E92" s="9" t="s">
        <v>48</v>
      </c>
      <c r="F92" s="16" t="n">
        <f aca="false">INDEX('Plan Reference'!$C$5:$C$22,MATCH(E92,'Plan Reference'!$B$5:$B$22,0))</f>
        <v>3</v>
      </c>
      <c r="G92" s="16" t="str">
        <f aca="false">INDEX('Plan Reference'!$D$5:$D$22,MATCH(E92,'Plan Reference'!$B$5:$B$22,0))</f>
        <v>12/side</v>
      </c>
      <c r="H92" s="10"/>
      <c r="I92" s="10"/>
      <c r="J92" s="10"/>
      <c r="K92" s="17"/>
    </row>
    <row r="93" customFormat="false" ht="15" hidden="false" customHeight="false" outlineLevel="0" collapsed="false">
      <c r="A93" s="7" t="n">
        <v>5</v>
      </c>
      <c r="B93" s="11" t="n">
        <f aca="false">Settings!$B$4+(A93-1)*7+4</f>
        <v>46241</v>
      </c>
      <c r="C93" s="5" t="str">
        <f aca="false">TEXT(B93,"dddd")</f>
        <v>Friday</v>
      </c>
      <c r="D93" s="5" t="s">
        <v>43</v>
      </c>
      <c r="E93" s="5" t="s">
        <v>49</v>
      </c>
      <c r="F93" s="13" t="n">
        <f aca="false">INDEX('Plan Reference'!$C$5:$C$22,MATCH(E93,'Plan Reference'!$B$5:$B$22,0))</f>
        <v>3</v>
      </c>
      <c r="G93" s="13" t="str">
        <f aca="false">INDEX('Plan Reference'!$D$5:$D$22,MATCH(E93,'Plan Reference'!$B$5:$B$22,0))</f>
        <v>20-30 sec/side</v>
      </c>
      <c r="H93" s="7"/>
      <c r="I93" s="7"/>
      <c r="J93" s="7"/>
    </row>
    <row r="94" customFormat="false" ht="15" hidden="false" customHeight="false" outlineLevel="0" collapsed="false">
      <c r="A94" s="10" t="n">
        <v>5</v>
      </c>
      <c r="B94" s="14" t="n">
        <f aca="false">Settings!$B$4+(A94-1)*7+4</f>
        <v>46241</v>
      </c>
      <c r="C94" s="9" t="str">
        <f aca="false">TEXT(B94,"dddd")</f>
        <v>Friday</v>
      </c>
      <c r="D94" s="9" t="s">
        <v>43</v>
      </c>
      <c r="E94" s="9" t="s">
        <v>51</v>
      </c>
      <c r="F94" s="16" t="n">
        <f aca="false">INDEX('Plan Reference'!$C$5:$C$22,MATCH(E94,'Plan Reference'!$B$5:$B$22,0))</f>
        <v>3</v>
      </c>
      <c r="G94" s="16" t="str">
        <f aca="false">INDEX('Plan Reference'!$D$5:$D$22,MATCH(E94,'Plan Reference'!$B$5:$B$22,0))</f>
        <v>30 sec</v>
      </c>
      <c r="H94" s="10"/>
      <c r="I94" s="10"/>
      <c r="J94" s="10"/>
      <c r="K94" s="17"/>
    </row>
    <row r="95" customFormat="false" ht="15" hidden="false" customHeight="false" outlineLevel="0" collapsed="false">
      <c r="A95" s="7" t="n">
        <v>6</v>
      </c>
      <c r="B95" s="11" t="n">
        <f aca="false">Settings!$B$4+(A95-1)*7+0</f>
        <v>46244</v>
      </c>
      <c r="C95" s="5" t="str">
        <f aca="false">TEXT(B95,"dddd")</f>
        <v>Monday</v>
      </c>
      <c r="D95" s="5" t="s">
        <v>24</v>
      </c>
      <c r="E95" s="5" t="s">
        <v>25</v>
      </c>
      <c r="F95" s="13" t="n">
        <f aca="false">INDEX('Plan Reference'!$C$5:$C$22,MATCH(E95,'Plan Reference'!$B$5:$B$22,0))</f>
        <v>3</v>
      </c>
      <c r="G95" s="13" t="str">
        <f aca="false">INDEX('Plan Reference'!$D$5:$D$22,MATCH(E95,'Plan Reference'!$B$5:$B$22,0))</f>
        <v>12</v>
      </c>
      <c r="H95" s="7"/>
      <c r="I95" s="7"/>
      <c r="J95" s="7"/>
    </row>
    <row r="96" customFormat="false" ht="15" hidden="false" customHeight="false" outlineLevel="0" collapsed="false">
      <c r="A96" s="10" t="n">
        <v>6</v>
      </c>
      <c r="B96" s="14" t="n">
        <f aca="false">Settings!$B$4+(A96-1)*7+0</f>
        <v>46244</v>
      </c>
      <c r="C96" s="9" t="str">
        <f aca="false">TEXT(B96,"dddd")</f>
        <v>Monday</v>
      </c>
      <c r="D96" s="9" t="s">
        <v>24</v>
      </c>
      <c r="E96" s="9" t="s">
        <v>27</v>
      </c>
      <c r="F96" s="16" t="n">
        <f aca="false">INDEX('Plan Reference'!$C$5:$C$22,MATCH(E96,'Plan Reference'!$B$5:$B$22,0))</f>
        <v>3</v>
      </c>
      <c r="G96" s="16" t="str">
        <f aca="false">INDEX('Plan Reference'!$D$5:$D$22,MATCH(E96,'Plan Reference'!$B$5:$B$22,0))</f>
        <v>12</v>
      </c>
      <c r="H96" s="10"/>
      <c r="I96" s="10"/>
      <c r="J96" s="10"/>
      <c r="K96" s="17"/>
    </row>
    <row r="97" customFormat="false" ht="15" hidden="false" customHeight="false" outlineLevel="0" collapsed="false">
      <c r="A97" s="7" t="n">
        <v>6</v>
      </c>
      <c r="B97" s="11" t="n">
        <f aca="false">Settings!$B$4+(A97-1)*7+0</f>
        <v>46244</v>
      </c>
      <c r="C97" s="5" t="str">
        <f aca="false">TEXT(B97,"dddd")</f>
        <v>Monday</v>
      </c>
      <c r="D97" s="5" t="s">
        <v>24</v>
      </c>
      <c r="E97" s="5" t="s">
        <v>28</v>
      </c>
      <c r="F97" s="13" t="n">
        <f aca="false">INDEX('Plan Reference'!$C$5:$C$22,MATCH(E97,'Plan Reference'!$B$5:$B$22,0))</f>
        <v>3</v>
      </c>
      <c r="G97" s="13" t="str">
        <f aca="false">INDEX('Plan Reference'!$D$5:$D$22,MATCH(E97,'Plan Reference'!$B$5:$B$22,0))</f>
        <v>10/leg</v>
      </c>
      <c r="H97" s="7"/>
      <c r="I97" s="7"/>
      <c r="J97" s="7"/>
    </row>
    <row r="98" customFormat="false" ht="15" hidden="false" customHeight="false" outlineLevel="0" collapsed="false">
      <c r="A98" s="10" t="n">
        <v>6</v>
      </c>
      <c r="B98" s="14" t="n">
        <f aca="false">Settings!$B$4+(A98-1)*7+0</f>
        <v>46244</v>
      </c>
      <c r="C98" s="9" t="str">
        <f aca="false">TEXT(B98,"dddd")</f>
        <v>Monday</v>
      </c>
      <c r="D98" s="9" t="s">
        <v>24</v>
      </c>
      <c r="E98" s="9" t="s">
        <v>30</v>
      </c>
      <c r="F98" s="16" t="n">
        <f aca="false">INDEX('Plan Reference'!$C$5:$C$22,MATCH(E98,'Plan Reference'!$B$5:$B$22,0))</f>
        <v>3</v>
      </c>
      <c r="G98" s="16" t="str">
        <f aca="false">INDEX('Plan Reference'!$D$5:$D$22,MATCH(E98,'Plan Reference'!$B$5:$B$22,0))</f>
        <v>15</v>
      </c>
      <c r="H98" s="10"/>
      <c r="I98" s="10"/>
      <c r="J98" s="10"/>
      <c r="K98" s="17"/>
    </row>
    <row r="99" customFormat="false" ht="15" hidden="false" customHeight="false" outlineLevel="0" collapsed="false">
      <c r="A99" s="7" t="n">
        <v>6</v>
      </c>
      <c r="B99" s="11" t="n">
        <f aca="false">Settings!$B$4+(A99-1)*7+0</f>
        <v>46244</v>
      </c>
      <c r="C99" s="5" t="str">
        <f aca="false">TEXT(B99,"dddd")</f>
        <v>Monday</v>
      </c>
      <c r="D99" s="5" t="s">
        <v>24</v>
      </c>
      <c r="E99" s="5" t="s">
        <v>32</v>
      </c>
      <c r="F99" s="13" t="n">
        <f aca="false">INDEX('Plan Reference'!$C$5:$C$22,MATCH(E99,'Plan Reference'!$B$5:$B$22,0))</f>
        <v>3</v>
      </c>
      <c r="G99" s="13" t="str">
        <f aca="false">INDEX('Plan Reference'!$D$5:$D$22,MATCH(E99,'Plan Reference'!$B$5:$B$22,0))</f>
        <v>30-45 sec</v>
      </c>
      <c r="H99" s="7"/>
      <c r="I99" s="7"/>
      <c r="J99" s="7"/>
    </row>
    <row r="100" customFormat="false" ht="15" hidden="false" customHeight="false" outlineLevel="0" collapsed="false">
      <c r="A100" s="10" t="n">
        <v>6</v>
      </c>
      <c r="B100" s="14" t="n">
        <f aca="false">Settings!$B$4+(A100-1)*7+0</f>
        <v>46244</v>
      </c>
      <c r="C100" s="9" t="str">
        <f aca="false">TEXT(B100,"dddd")</f>
        <v>Monday</v>
      </c>
      <c r="D100" s="9" t="s">
        <v>24</v>
      </c>
      <c r="E100" s="9" t="s">
        <v>34</v>
      </c>
      <c r="F100" s="16" t="n">
        <f aca="false">INDEX('Plan Reference'!$C$5:$C$22,MATCH(E100,'Plan Reference'!$B$5:$B$22,0))</f>
        <v>3</v>
      </c>
      <c r="G100" s="16" t="str">
        <f aca="false">INDEX('Plan Reference'!$D$5:$D$22,MATCH(E100,'Plan Reference'!$B$5:$B$22,0))</f>
        <v>15</v>
      </c>
      <c r="H100" s="10"/>
      <c r="I100" s="10"/>
      <c r="J100" s="10"/>
      <c r="K100" s="17"/>
    </row>
    <row r="101" customFormat="false" ht="15" hidden="false" customHeight="false" outlineLevel="0" collapsed="false">
      <c r="A101" s="7" t="n">
        <v>6</v>
      </c>
      <c r="B101" s="11" t="n">
        <f aca="false">Settings!$B$4+(A101-1)*7+2</f>
        <v>46246</v>
      </c>
      <c r="C101" s="5" t="str">
        <f aca="false">TEXT(B101,"dddd")</f>
        <v>Wednesday</v>
      </c>
      <c r="D101" s="5" t="s">
        <v>35</v>
      </c>
      <c r="E101" s="5" t="s">
        <v>36</v>
      </c>
      <c r="F101" s="13" t="n">
        <f aca="false">INDEX('Plan Reference'!$C$5:$C$22,MATCH(E101,'Plan Reference'!$B$5:$B$22,0))</f>
        <v>3</v>
      </c>
      <c r="G101" s="13" t="str">
        <f aca="false">INDEX('Plan Reference'!$D$5:$D$22,MATCH(E101,'Plan Reference'!$B$5:$B$22,0))</f>
        <v>12</v>
      </c>
      <c r="H101" s="7"/>
      <c r="I101" s="7"/>
      <c r="J101" s="7"/>
    </row>
    <row r="102" customFormat="false" ht="15" hidden="false" customHeight="false" outlineLevel="0" collapsed="false">
      <c r="A102" s="10" t="n">
        <v>6</v>
      </c>
      <c r="B102" s="14" t="n">
        <f aca="false">Settings!$B$4+(A102-1)*7+2</f>
        <v>46246</v>
      </c>
      <c r="C102" s="9" t="str">
        <f aca="false">TEXT(B102,"dddd")</f>
        <v>Wednesday</v>
      </c>
      <c r="D102" s="9" t="s">
        <v>35</v>
      </c>
      <c r="E102" s="9" t="s">
        <v>37</v>
      </c>
      <c r="F102" s="16" t="n">
        <f aca="false">INDEX('Plan Reference'!$C$5:$C$22,MATCH(E102,'Plan Reference'!$B$5:$B$22,0))</f>
        <v>3</v>
      </c>
      <c r="G102" s="16" t="str">
        <f aca="false">INDEX('Plan Reference'!$D$5:$D$22,MATCH(E102,'Plan Reference'!$B$5:$B$22,0))</f>
        <v>12</v>
      </c>
      <c r="H102" s="10"/>
      <c r="I102" s="10"/>
      <c r="J102" s="10"/>
      <c r="K102" s="17"/>
    </row>
    <row r="103" customFormat="false" ht="15" hidden="false" customHeight="false" outlineLevel="0" collapsed="false">
      <c r="A103" s="7" t="n">
        <v>6</v>
      </c>
      <c r="B103" s="11" t="n">
        <f aca="false">Settings!$B$4+(A103-1)*7+2</f>
        <v>46246</v>
      </c>
      <c r="C103" s="5" t="str">
        <f aca="false">TEXT(B103,"dddd")</f>
        <v>Wednesday</v>
      </c>
      <c r="D103" s="5" t="s">
        <v>35</v>
      </c>
      <c r="E103" s="5" t="s">
        <v>38</v>
      </c>
      <c r="F103" s="13" t="n">
        <f aca="false">INDEX('Plan Reference'!$C$5:$C$22,MATCH(E103,'Plan Reference'!$B$5:$B$22,0))</f>
        <v>3</v>
      </c>
      <c r="G103" s="13" t="str">
        <f aca="false">INDEX('Plan Reference'!$D$5:$D$22,MATCH(E103,'Plan Reference'!$B$5:$B$22,0))</f>
        <v>12</v>
      </c>
      <c r="H103" s="7"/>
      <c r="I103" s="7"/>
      <c r="J103" s="7"/>
    </row>
    <row r="104" customFormat="false" ht="15" hidden="false" customHeight="false" outlineLevel="0" collapsed="false">
      <c r="A104" s="10" t="n">
        <v>6</v>
      </c>
      <c r="B104" s="14" t="n">
        <f aca="false">Settings!$B$4+(A104-1)*7+2</f>
        <v>46246</v>
      </c>
      <c r="C104" s="9" t="str">
        <f aca="false">TEXT(B104,"dddd")</f>
        <v>Wednesday</v>
      </c>
      <c r="D104" s="9" t="s">
        <v>35</v>
      </c>
      <c r="E104" s="9" t="s">
        <v>39</v>
      </c>
      <c r="F104" s="16" t="n">
        <f aca="false">INDEX('Plan Reference'!$C$5:$C$22,MATCH(E104,'Plan Reference'!$B$5:$B$22,0))</f>
        <v>3</v>
      </c>
      <c r="G104" s="16" t="str">
        <f aca="false">INDEX('Plan Reference'!$D$5:$D$22,MATCH(E104,'Plan Reference'!$B$5:$B$22,0))</f>
        <v>15</v>
      </c>
      <c r="H104" s="10"/>
      <c r="I104" s="10"/>
      <c r="J104" s="10"/>
      <c r="K104" s="17"/>
    </row>
    <row r="105" customFormat="false" ht="15" hidden="false" customHeight="false" outlineLevel="0" collapsed="false">
      <c r="A105" s="7" t="n">
        <v>6</v>
      </c>
      <c r="B105" s="11" t="n">
        <f aca="false">Settings!$B$4+(A105-1)*7+2</f>
        <v>46246</v>
      </c>
      <c r="C105" s="5" t="str">
        <f aca="false">TEXT(B105,"dddd")</f>
        <v>Wednesday</v>
      </c>
      <c r="D105" s="5" t="s">
        <v>35</v>
      </c>
      <c r="E105" s="5" t="s">
        <v>40</v>
      </c>
      <c r="F105" s="13" t="n">
        <f aca="false">INDEX('Plan Reference'!$C$5:$C$22,MATCH(E105,'Plan Reference'!$B$5:$B$22,0))</f>
        <v>3</v>
      </c>
      <c r="G105" s="13" t="str">
        <f aca="false">INDEX('Plan Reference'!$D$5:$D$22,MATCH(E105,'Plan Reference'!$B$5:$B$22,0))</f>
        <v>12</v>
      </c>
      <c r="H105" s="7"/>
      <c r="I105" s="7"/>
      <c r="J105" s="7"/>
    </row>
    <row r="106" customFormat="false" ht="15" hidden="false" customHeight="false" outlineLevel="0" collapsed="false">
      <c r="A106" s="10" t="n">
        <v>6</v>
      </c>
      <c r="B106" s="14" t="n">
        <f aca="false">Settings!$B$4+(A106-1)*7+2</f>
        <v>46246</v>
      </c>
      <c r="C106" s="9" t="str">
        <f aca="false">TEXT(B106,"dddd")</f>
        <v>Wednesday</v>
      </c>
      <c r="D106" s="9" t="s">
        <v>35</v>
      </c>
      <c r="E106" s="9" t="s">
        <v>41</v>
      </c>
      <c r="F106" s="16" t="n">
        <f aca="false">INDEX('Plan Reference'!$C$5:$C$22,MATCH(E106,'Plan Reference'!$B$5:$B$22,0))</f>
        <v>3</v>
      </c>
      <c r="G106" s="16" t="str">
        <f aca="false">INDEX('Plan Reference'!$D$5:$D$22,MATCH(E106,'Plan Reference'!$B$5:$B$22,0))</f>
        <v>12/side</v>
      </c>
      <c r="H106" s="10"/>
      <c r="I106" s="10"/>
      <c r="J106" s="10"/>
      <c r="K106" s="17"/>
    </row>
    <row r="107" customFormat="false" ht="15" hidden="false" customHeight="false" outlineLevel="0" collapsed="false">
      <c r="A107" s="7" t="n">
        <v>6</v>
      </c>
      <c r="B107" s="11" t="n">
        <f aca="false">Settings!$B$4+(A107-1)*7+4</f>
        <v>46248</v>
      </c>
      <c r="C107" s="5" t="str">
        <f aca="false">TEXT(B107,"dddd")</f>
        <v>Friday</v>
      </c>
      <c r="D107" s="5" t="s">
        <v>43</v>
      </c>
      <c r="E107" s="5" t="s">
        <v>44</v>
      </c>
      <c r="F107" s="13" t="n">
        <f aca="false">INDEX('Plan Reference'!$C$5:$C$22,MATCH(E107,'Plan Reference'!$B$5:$B$22,0))</f>
        <v>3</v>
      </c>
      <c r="G107" s="13" t="str">
        <f aca="false">INDEX('Plan Reference'!$D$5:$D$22,MATCH(E107,'Plan Reference'!$B$5:$B$22,0))</f>
        <v>12</v>
      </c>
      <c r="H107" s="7"/>
      <c r="I107" s="7"/>
      <c r="J107" s="7"/>
    </row>
    <row r="108" customFormat="false" ht="15" hidden="false" customHeight="false" outlineLevel="0" collapsed="false">
      <c r="A108" s="10" t="n">
        <v>6</v>
      </c>
      <c r="B108" s="14" t="n">
        <f aca="false">Settings!$B$4+(A108-1)*7+4</f>
        <v>46248</v>
      </c>
      <c r="C108" s="9" t="str">
        <f aca="false">TEXT(B108,"dddd")</f>
        <v>Friday</v>
      </c>
      <c r="D108" s="9" t="s">
        <v>43</v>
      </c>
      <c r="E108" s="9" t="s">
        <v>45</v>
      </c>
      <c r="F108" s="16" t="n">
        <f aca="false">INDEX('Plan Reference'!$C$5:$C$22,MATCH(E108,'Plan Reference'!$B$5:$B$22,0))</f>
        <v>3</v>
      </c>
      <c r="G108" s="16" t="str">
        <f aca="false">INDEX('Plan Reference'!$D$5:$D$22,MATCH(E108,'Plan Reference'!$B$5:$B$22,0))</f>
        <v>10/side</v>
      </c>
      <c r="H108" s="10"/>
      <c r="I108" s="10"/>
      <c r="J108" s="10"/>
      <c r="K108" s="17"/>
    </row>
    <row r="109" customFormat="false" ht="15" hidden="false" customHeight="false" outlineLevel="0" collapsed="false">
      <c r="A109" s="7" t="n">
        <v>6</v>
      </c>
      <c r="B109" s="11" t="n">
        <f aca="false">Settings!$B$4+(A109-1)*7+4</f>
        <v>46248</v>
      </c>
      <c r="C109" s="5" t="str">
        <f aca="false">TEXT(B109,"dddd")</f>
        <v>Friday</v>
      </c>
      <c r="D109" s="5" t="s">
        <v>43</v>
      </c>
      <c r="E109" s="5" t="s">
        <v>47</v>
      </c>
      <c r="F109" s="13" t="n">
        <f aca="false">INDEX('Plan Reference'!$C$5:$C$22,MATCH(E109,'Plan Reference'!$B$5:$B$22,0))</f>
        <v>3</v>
      </c>
      <c r="G109" s="13" t="str">
        <f aca="false">INDEX('Plan Reference'!$D$5:$D$22,MATCH(E109,'Plan Reference'!$B$5:$B$22,0))</f>
        <v>10/leg</v>
      </c>
      <c r="H109" s="7"/>
      <c r="I109" s="7"/>
      <c r="J109" s="7"/>
    </row>
    <row r="110" customFormat="false" ht="15" hidden="false" customHeight="false" outlineLevel="0" collapsed="false">
      <c r="A110" s="10" t="n">
        <v>6</v>
      </c>
      <c r="B110" s="14" t="n">
        <f aca="false">Settings!$B$4+(A110-1)*7+4</f>
        <v>46248</v>
      </c>
      <c r="C110" s="9" t="str">
        <f aca="false">TEXT(B110,"dddd")</f>
        <v>Friday</v>
      </c>
      <c r="D110" s="9" t="s">
        <v>43</v>
      </c>
      <c r="E110" s="9" t="s">
        <v>48</v>
      </c>
      <c r="F110" s="16" t="n">
        <f aca="false">INDEX('Plan Reference'!$C$5:$C$22,MATCH(E110,'Plan Reference'!$B$5:$B$22,0))</f>
        <v>3</v>
      </c>
      <c r="G110" s="16" t="str">
        <f aca="false">INDEX('Plan Reference'!$D$5:$D$22,MATCH(E110,'Plan Reference'!$B$5:$B$22,0))</f>
        <v>12/side</v>
      </c>
      <c r="H110" s="10"/>
      <c r="I110" s="10"/>
      <c r="J110" s="10"/>
      <c r="K110" s="17"/>
    </row>
    <row r="111" customFormat="false" ht="15" hidden="false" customHeight="false" outlineLevel="0" collapsed="false">
      <c r="A111" s="7" t="n">
        <v>6</v>
      </c>
      <c r="B111" s="11" t="n">
        <f aca="false">Settings!$B$4+(A111-1)*7+4</f>
        <v>46248</v>
      </c>
      <c r="C111" s="5" t="str">
        <f aca="false">TEXT(B111,"dddd")</f>
        <v>Friday</v>
      </c>
      <c r="D111" s="5" t="s">
        <v>43</v>
      </c>
      <c r="E111" s="5" t="s">
        <v>49</v>
      </c>
      <c r="F111" s="13" t="n">
        <f aca="false">INDEX('Plan Reference'!$C$5:$C$22,MATCH(E111,'Plan Reference'!$B$5:$B$22,0))</f>
        <v>3</v>
      </c>
      <c r="G111" s="13" t="str">
        <f aca="false">INDEX('Plan Reference'!$D$5:$D$22,MATCH(E111,'Plan Reference'!$B$5:$B$22,0))</f>
        <v>20-30 sec/side</v>
      </c>
      <c r="H111" s="7"/>
      <c r="I111" s="7"/>
      <c r="J111" s="7"/>
    </row>
    <row r="112" customFormat="false" ht="15" hidden="false" customHeight="false" outlineLevel="0" collapsed="false">
      <c r="A112" s="10" t="n">
        <v>6</v>
      </c>
      <c r="B112" s="14" t="n">
        <f aca="false">Settings!$B$4+(A112-1)*7+4</f>
        <v>46248</v>
      </c>
      <c r="C112" s="9" t="str">
        <f aca="false">TEXT(B112,"dddd")</f>
        <v>Friday</v>
      </c>
      <c r="D112" s="9" t="s">
        <v>43</v>
      </c>
      <c r="E112" s="9" t="s">
        <v>51</v>
      </c>
      <c r="F112" s="16" t="n">
        <f aca="false">INDEX('Plan Reference'!$C$5:$C$22,MATCH(E112,'Plan Reference'!$B$5:$B$22,0))</f>
        <v>3</v>
      </c>
      <c r="G112" s="16" t="str">
        <f aca="false">INDEX('Plan Reference'!$D$5:$D$22,MATCH(E112,'Plan Reference'!$B$5:$B$22,0))</f>
        <v>30 sec</v>
      </c>
      <c r="H112" s="10"/>
      <c r="I112" s="10"/>
      <c r="J112" s="10"/>
      <c r="K112" s="17"/>
    </row>
    <row r="113" customFormat="false" ht="15" hidden="false" customHeight="false" outlineLevel="0" collapsed="false">
      <c r="A113" s="7" t="n">
        <v>7</v>
      </c>
      <c r="B113" s="11" t="n">
        <f aca="false">Settings!$B$4+(A113-1)*7+0</f>
        <v>46251</v>
      </c>
      <c r="C113" s="5" t="str">
        <f aca="false">TEXT(B113,"dddd")</f>
        <v>Monday</v>
      </c>
      <c r="D113" s="5" t="s">
        <v>24</v>
      </c>
      <c r="E113" s="5" t="s">
        <v>25</v>
      </c>
      <c r="F113" s="13" t="n">
        <f aca="false">INDEX('Plan Reference'!$C$5:$C$22,MATCH(E113,'Plan Reference'!$B$5:$B$22,0))</f>
        <v>3</v>
      </c>
      <c r="G113" s="13" t="str">
        <f aca="false">INDEX('Plan Reference'!$D$5:$D$22,MATCH(E113,'Plan Reference'!$B$5:$B$22,0))</f>
        <v>12</v>
      </c>
      <c r="H113" s="7"/>
      <c r="I113" s="7"/>
      <c r="J113" s="7"/>
    </row>
    <row r="114" customFormat="false" ht="15" hidden="false" customHeight="false" outlineLevel="0" collapsed="false">
      <c r="A114" s="10" t="n">
        <v>7</v>
      </c>
      <c r="B114" s="14" t="n">
        <f aca="false">Settings!$B$4+(A114-1)*7+0</f>
        <v>46251</v>
      </c>
      <c r="C114" s="9" t="str">
        <f aca="false">TEXT(B114,"dddd")</f>
        <v>Monday</v>
      </c>
      <c r="D114" s="9" t="s">
        <v>24</v>
      </c>
      <c r="E114" s="9" t="s">
        <v>27</v>
      </c>
      <c r="F114" s="16" t="n">
        <f aca="false">INDEX('Plan Reference'!$C$5:$C$22,MATCH(E114,'Plan Reference'!$B$5:$B$22,0))</f>
        <v>3</v>
      </c>
      <c r="G114" s="16" t="str">
        <f aca="false">INDEX('Plan Reference'!$D$5:$D$22,MATCH(E114,'Plan Reference'!$B$5:$B$22,0))</f>
        <v>12</v>
      </c>
      <c r="H114" s="10"/>
      <c r="I114" s="10"/>
      <c r="J114" s="10"/>
      <c r="K114" s="17"/>
    </row>
    <row r="115" customFormat="false" ht="15" hidden="false" customHeight="false" outlineLevel="0" collapsed="false">
      <c r="A115" s="7" t="n">
        <v>7</v>
      </c>
      <c r="B115" s="11" t="n">
        <f aca="false">Settings!$B$4+(A115-1)*7+0</f>
        <v>46251</v>
      </c>
      <c r="C115" s="5" t="str">
        <f aca="false">TEXT(B115,"dddd")</f>
        <v>Monday</v>
      </c>
      <c r="D115" s="5" t="s">
        <v>24</v>
      </c>
      <c r="E115" s="5" t="s">
        <v>28</v>
      </c>
      <c r="F115" s="13" t="n">
        <f aca="false">INDEX('Plan Reference'!$C$5:$C$22,MATCH(E115,'Plan Reference'!$B$5:$B$22,0))</f>
        <v>3</v>
      </c>
      <c r="G115" s="13" t="str">
        <f aca="false">INDEX('Plan Reference'!$D$5:$D$22,MATCH(E115,'Plan Reference'!$B$5:$B$22,0))</f>
        <v>10/leg</v>
      </c>
      <c r="H115" s="7"/>
      <c r="I115" s="7"/>
      <c r="J115" s="7"/>
    </row>
    <row r="116" customFormat="false" ht="15" hidden="false" customHeight="false" outlineLevel="0" collapsed="false">
      <c r="A116" s="10" t="n">
        <v>7</v>
      </c>
      <c r="B116" s="14" t="n">
        <f aca="false">Settings!$B$4+(A116-1)*7+0</f>
        <v>46251</v>
      </c>
      <c r="C116" s="9" t="str">
        <f aca="false">TEXT(B116,"dddd")</f>
        <v>Monday</v>
      </c>
      <c r="D116" s="9" t="s">
        <v>24</v>
      </c>
      <c r="E116" s="9" t="s">
        <v>30</v>
      </c>
      <c r="F116" s="16" t="n">
        <f aca="false">INDEX('Plan Reference'!$C$5:$C$22,MATCH(E116,'Plan Reference'!$B$5:$B$22,0))</f>
        <v>3</v>
      </c>
      <c r="G116" s="16" t="str">
        <f aca="false">INDEX('Plan Reference'!$D$5:$D$22,MATCH(E116,'Plan Reference'!$B$5:$B$22,0))</f>
        <v>15</v>
      </c>
      <c r="H116" s="10"/>
      <c r="I116" s="10"/>
      <c r="J116" s="10"/>
      <c r="K116" s="17"/>
    </row>
    <row r="117" customFormat="false" ht="15" hidden="false" customHeight="false" outlineLevel="0" collapsed="false">
      <c r="A117" s="7" t="n">
        <v>7</v>
      </c>
      <c r="B117" s="11" t="n">
        <f aca="false">Settings!$B$4+(A117-1)*7+0</f>
        <v>46251</v>
      </c>
      <c r="C117" s="5" t="str">
        <f aca="false">TEXT(B117,"dddd")</f>
        <v>Monday</v>
      </c>
      <c r="D117" s="5" t="s">
        <v>24</v>
      </c>
      <c r="E117" s="5" t="s">
        <v>32</v>
      </c>
      <c r="F117" s="13" t="n">
        <f aca="false">INDEX('Plan Reference'!$C$5:$C$22,MATCH(E117,'Plan Reference'!$B$5:$B$22,0))</f>
        <v>3</v>
      </c>
      <c r="G117" s="13" t="str">
        <f aca="false">INDEX('Plan Reference'!$D$5:$D$22,MATCH(E117,'Plan Reference'!$B$5:$B$22,0))</f>
        <v>30-45 sec</v>
      </c>
      <c r="H117" s="7"/>
      <c r="I117" s="7"/>
      <c r="J117" s="7"/>
    </row>
    <row r="118" customFormat="false" ht="15" hidden="false" customHeight="false" outlineLevel="0" collapsed="false">
      <c r="A118" s="10" t="n">
        <v>7</v>
      </c>
      <c r="B118" s="14" t="n">
        <f aca="false">Settings!$B$4+(A118-1)*7+0</f>
        <v>46251</v>
      </c>
      <c r="C118" s="9" t="str">
        <f aca="false">TEXT(B118,"dddd")</f>
        <v>Monday</v>
      </c>
      <c r="D118" s="9" t="s">
        <v>24</v>
      </c>
      <c r="E118" s="9" t="s">
        <v>34</v>
      </c>
      <c r="F118" s="16" t="n">
        <f aca="false">INDEX('Plan Reference'!$C$5:$C$22,MATCH(E118,'Plan Reference'!$B$5:$B$22,0))</f>
        <v>3</v>
      </c>
      <c r="G118" s="16" t="str">
        <f aca="false">INDEX('Plan Reference'!$D$5:$D$22,MATCH(E118,'Plan Reference'!$B$5:$B$22,0))</f>
        <v>15</v>
      </c>
      <c r="H118" s="10"/>
      <c r="I118" s="10"/>
      <c r="J118" s="10"/>
      <c r="K118" s="17"/>
    </row>
    <row r="119" customFormat="false" ht="15" hidden="false" customHeight="false" outlineLevel="0" collapsed="false">
      <c r="A119" s="7" t="n">
        <v>7</v>
      </c>
      <c r="B119" s="11" t="n">
        <f aca="false">Settings!$B$4+(A119-1)*7+2</f>
        <v>46253</v>
      </c>
      <c r="C119" s="5" t="str">
        <f aca="false">TEXT(B119,"dddd")</f>
        <v>Wednesday</v>
      </c>
      <c r="D119" s="5" t="s">
        <v>35</v>
      </c>
      <c r="E119" s="5" t="s">
        <v>36</v>
      </c>
      <c r="F119" s="13" t="n">
        <f aca="false">INDEX('Plan Reference'!$C$5:$C$22,MATCH(E119,'Plan Reference'!$B$5:$B$22,0))</f>
        <v>3</v>
      </c>
      <c r="G119" s="13" t="str">
        <f aca="false">INDEX('Plan Reference'!$D$5:$D$22,MATCH(E119,'Plan Reference'!$B$5:$B$22,0))</f>
        <v>12</v>
      </c>
      <c r="H119" s="7"/>
      <c r="I119" s="7"/>
      <c r="J119" s="7"/>
    </row>
    <row r="120" customFormat="false" ht="15" hidden="false" customHeight="false" outlineLevel="0" collapsed="false">
      <c r="A120" s="10" t="n">
        <v>7</v>
      </c>
      <c r="B120" s="14" t="n">
        <f aca="false">Settings!$B$4+(A120-1)*7+2</f>
        <v>46253</v>
      </c>
      <c r="C120" s="9" t="str">
        <f aca="false">TEXT(B120,"dddd")</f>
        <v>Wednesday</v>
      </c>
      <c r="D120" s="9" t="s">
        <v>35</v>
      </c>
      <c r="E120" s="9" t="s">
        <v>37</v>
      </c>
      <c r="F120" s="16" t="n">
        <f aca="false">INDEX('Plan Reference'!$C$5:$C$22,MATCH(E120,'Plan Reference'!$B$5:$B$22,0))</f>
        <v>3</v>
      </c>
      <c r="G120" s="16" t="str">
        <f aca="false">INDEX('Plan Reference'!$D$5:$D$22,MATCH(E120,'Plan Reference'!$B$5:$B$22,0))</f>
        <v>12</v>
      </c>
      <c r="H120" s="10"/>
      <c r="I120" s="10"/>
      <c r="J120" s="10"/>
      <c r="K120" s="17"/>
    </row>
    <row r="121" customFormat="false" ht="15" hidden="false" customHeight="false" outlineLevel="0" collapsed="false">
      <c r="A121" s="7" t="n">
        <v>7</v>
      </c>
      <c r="B121" s="11" t="n">
        <f aca="false">Settings!$B$4+(A121-1)*7+2</f>
        <v>46253</v>
      </c>
      <c r="C121" s="5" t="str">
        <f aca="false">TEXT(B121,"dddd")</f>
        <v>Wednesday</v>
      </c>
      <c r="D121" s="5" t="s">
        <v>35</v>
      </c>
      <c r="E121" s="5" t="s">
        <v>38</v>
      </c>
      <c r="F121" s="13" t="n">
        <f aca="false">INDEX('Plan Reference'!$C$5:$C$22,MATCH(E121,'Plan Reference'!$B$5:$B$22,0))</f>
        <v>3</v>
      </c>
      <c r="G121" s="13" t="str">
        <f aca="false">INDEX('Plan Reference'!$D$5:$D$22,MATCH(E121,'Plan Reference'!$B$5:$B$22,0))</f>
        <v>12</v>
      </c>
      <c r="H121" s="7"/>
      <c r="I121" s="7"/>
      <c r="J121" s="7"/>
    </row>
    <row r="122" customFormat="false" ht="15" hidden="false" customHeight="false" outlineLevel="0" collapsed="false">
      <c r="A122" s="10" t="n">
        <v>7</v>
      </c>
      <c r="B122" s="14" t="n">
        <f aca="false">Settings!$B$4+(A122-1)*7+2</f>
        <v>46253</v>
      </c>
      <c r="C122" s="9" t="str">
        <f aca="false">TEXT(B122,"dddd")</f>
        <v>Wednesday</v>
      </c>
      <c r="D122" s="9" t="s">
        <v>35</v>
      </c>
      <c r="E122" s="9" t="s">
        <v>39</v>
      </c>
      <c r="F122" s="16" t="n">
        <f aca="false">INDEX('Plan Reference'!$C$5:$C$22,MATCH(E122,'Plan Reference'!$B$5:$B$22,0))</f>
        <v>3</v>
      </c>
      <c r="G122" s="16" t="str">
        <f aca="false">INDEX('Plan Reference'!$D$5:$D$22,MATCH(E122,'Plan Reference'!$B$5:$B$22,0))</f>
        <v>15</v>
      </c>
      <c r="H122" s="10"/>
      <c r="I122" s="10"/>
      <c r="J122" s="10"/>
      <c r="K122" s="17"/>
    </row>
    <row r="123" customFormat="false" ht="15" hidden="false" customHeight="false" outlineLevel="0" collapsed="false">
      <c r="A123" s="7" t="n">
        <v>7</v>
      </c>
      <c r="B123" s="11" t="n">
        <f aca="false">Settings!$B$4+(A123-1)*7+2</f>
        <v>46253</v>
      </c>
      <c r="C123" s="5" t="str">
        <f aca="false">TEXT(B123,"dddd")</f>
        <v>Wednesday</v>
      </c>
      <c r="D123" s="5" t="s">
        <v>35</v>
      </c>
      <c r="E123" s="5" t="s">
        <v>40</v>
      </c>
      <c r="F123" s="13" t="n">
        <f aca="false">INDEX('Plan Reference'!$C$5:$C$22,MATCH(E123,'Plan Reference'!$B$5:$B$22,0))</f>
        <v>3</v>
      </c>
      <c r="G123" s="13" t="str">
        <f aca="false">INDEX('Plan Reference'!$D$5:$D$22,MATCH(E123,'Plan Reference'!$B$5:$B$22,0))</f>
        <v>12</v>
      </c>
      <c r="H123" s="7"/>
      <c r="I123" s="7"/>
      <c r="J123" s="7"/>
    </row>
    <row r="124" customFormat="false" ht="15" hidden="false" customHeight="false" outlineLevel="0" collapsed="false">
      <c r="A124" s="10" t="n">
        <v>7</v>
      </c>
      <c r="B124" s="14" t="n">
        <f aca="false">Settings!$B$4+(A124-1)*7+2</f>
        <v>46253</v>
      </c>
      <c r="C124" s="9" t="str">
        <f aca="false">TEXT(B124,"dddd")</f>
        <v>Wednesday</v>
      </c>
      <c r="D124" s="9" t="s">
        <v>35</v>
      </c>
      <c r="E124" s="9" t="s">
        <v>41</v>
      </c>
      <c r="F124" s="16" t="n">
        <f aca="false">INDEX('Plan Reference'!$C$5:$C$22,MATCH(E124,'Plan Reference'!$B$5:$B$22,0))</f>
        <v>3</v>
      </c>
      <c r="G124" s="16" t="str">
        <f aca="false">INDEX('Plan Reference'!$D$5:$D$22,MATCH(E124,'Plan Reference'!$B$5:$B$22,0))</f>
        <v>12/side</v>
      </c>
      <c r="H124" s="10"/>
      <c r="I124" s="10"/>
      <c r="J124" s="10"/>
      <c r="K124" s="17"/>
    </row>
    <row r="125" customFormat="false" ht="15" hidden="false" customHeight="false" outlineLevel="0" collapsed="false">
      <c r="A125" s="7" t="n">
        <v>7</v>
      </c>
      <c r="B125" s="11" t="n">
        <f aca="false">Settings!$B$4+(A125-1)*7+4</f>
        <v>46255</v>
      </c>
      <c r="C125" s="5" t="str">
        <f aca="false">TEXT(B125,"dddd")</f>
        <v>Friday</v>
      </c>
      <c r="D125" s="5" t="s">
        <v>43</v>
      </c>
      <c r="E125" s="5" t="s">
        <v>44</v>
      </c>
      <c r="F125" s="13" t="n">
        <f aca="false">INDEX('Plan Reference'!$C$5:$C$22,MATCH(E125,'Plan Reference'!$B$5:$B$22,0))</f>
        <v>3</v>
      </c>
      <c r="G125" s="13" t="str">
        <f aca="false">INDEX('Plan Reference'!$D$5:$D$22,MATCH(E125,'Plan Reference'!$B$5:$B$22,0))</f>
        <v>12</v>
      </c>
      <c r="H125" s="7"/>
      <c r="I125" s="7"/>
      <c r="J125" s="7"/>
    </row>
    <row r="126" customFormat="false" ht="15" hidden="false" customHeight="false" outlineLevel="0" collapsed="false">
      <c r="A126" s="10" t="n">
        <v>7</v>
      </c>
      <c r="B126" s="14" t="n">
        <f aca="false">Settings!$B$4+(A126-1)*7+4</f>
        <v>46255</v>
      </c>
      <c r="C126" s="9" t="str">
        <f aca="false">TEXT(B126,"dddd")</f>
        <v>Friday</v>
      </c>
      <c r="D126" s="9" t="s">
        <v>43</v>
      </c>
      <c r="E126" s="9" t="s">
        <v>45</v>
      </c>
      <c r="F126" s="16" t="n">
        <f aca="false">INDEX('Plan Reference'!$C$5:$C$22,MATCH(E126,'Plan Reference'!$B$5:$B$22,0))</f>
        <v>3</v>
      </c>
      <c r="G126" s="16" t="str">
        <f aca="false">INDEX('Plan Reference'!$D$5:$D$22,MATCH(E126,'Plan Reference'!$B$5:$B$22,0))</f>
        <v>10/side</v>
      </c>
      <c r="H126" s="10"/>
      <c r="I126" s="10"/>
      <c r="J126" s="10"/>
      <c r="K126" s="17"/>
    </row>
    <row r="127" customFormat="false" ht="15" hidden="false" customHeight="false" outlineLevel="0" collapsed="false">
      <c r="A127" s="7" t="n">
        <v>7</v>
      </c>
      <c r="B127" s="11" t="n">
        <f aca="false">Settings!$B$4+(A127-1)*7+4</f>
        <v>46255</v>
      </c>
      <c r="C127" s="5" t="str">
        <f aca="false">TEXT(B127,"dddd")</f>
        <v>Friday</v>
      </c>
      <c r="D127" s="5" t="s">
        <v>43</v>
      </c>
      <c r="E127" s="5" t="s">
        <v>47</v>
      </c>
      <c r="F127" s="13" t="n">
        <f aca="false">INDEX('Plan Reference'!$C$5:$C$22,MATCH(E127,'Plan Reference'!$B$5:$B$22,0))</f>
        <v>3</v>
      </c>
      <c r="G127" s="13" t="str">
        <f aca="false">INDEX('Plan Reference'!$D$5:$D$22,MATCH(E127,'Plan Reference'!$B$5:$B$22,0))</f>
        <v>10/leg</v>
      </c>
      <c r="H127" s="7"/>
      <c r="I127" s="7"/>
      <c r="J127" s="7"/>
    </row>
    <row r="128" customFormat="false" ht="15" hidden="false" customHeight="false" outlineLevel="0" collapsed="false">
      <c r="A128" s="10" t="n">
        <v>7</v>
      </c>
      <c r="B128" s="14" t="n">
        <f aca="false">Settings!$B$4+(A128-1)*7+4</f>
        <v>46255</v>
      </c>
      <c r="C128" s="9" t="str">
        <f aca="false">TEXT(B128,"dddd")</f>
        <v>Friday</v>
      </c>
      <c r="D128" s="9" t="s">
        <v>43</v>
      </c>
      <c r="E128" s="9" t="s">
        <v>48</v>
      </c>
      <c r="F128" s="16" t="n">
        <f aca="false">INDEX('Plan Reference'!$C$5:$C$22,MATCH(E128,'Plan Reference'!$B$5:$B$22,0))</f>
        <v>3</v>
      </c>
      <c r="G128" s="16" t="str">
        <f aca="false">INDEX('Plan Reference'!$D$5:$D$22,MATCH(E128,'Plan Reference'!$B$5:$B$22,0))</f>
        <v>12/side</v>
      </c>
      <c r="H128" s="10"/>
      <c r="I128" s="10"/>
      <c r="J128" s="10"/>
      <c r="K128" s="17"/>
    </row>
    <row r="129" customFormat="false" ht="15" hidden="false" customHeight="false" outlineLevel="0" collapsed="false">
      <c r="A129" s="7" t="n">
        <v>7</v>
      </c>
      <c r="B129" s="11" t="n">
        <f aca="false">Settings!$B$4+(A129-1)*7+4</f>
        <v>46255</v>
      </c>
      <c r="C129" s="5" t="str">
        <f aca="false">TEXT(B129,"dddd")</f>
        <v>Friday</v>
      </c>
      <c r="D129" s="5" t="s">
        <v>43</v>
      </c>
      <c r="E129" s="5" t="s">
        <v>49</v>
      </c>
      <c r="F129" s="13" t="n">
        <f aca="false">INDEX('Plan Reference'!$C$5:$C$22,MATCH(E129,'Plan Reference'!$B$5:$B$22,0))</f>
        <v>3</v>
      </c>
      <c r="G129" s="13" t="str">
        <f aca="false">INDEX('Plan Reference'!$D$5:$D$22,MATCH(E129,'Plan Reference'!$B$5:$B$22,0))</f>
        <v>20-30 sec/side</v>
      </c>
      <c r="H129" s="7"/>
      <c r="I129" s="7"/>
      <c r="J129" s="7"/>
    </row>
    <row r="130" customFormat="false" ht="15" hidden="false" customHeight="false" outlineLevel="0" collapsed="false">
      <c r="A130" s="10" t="n">
        <v>7</v>
      </c>
      <c r="B130" s="14" t="n">
        <f aca="false">Settings!$B$4+(A130-1)*7+4</f>
        <v>46255</v>
      </c>
      <c r="C130" s="9" t="str">
        <f aca="false">TEXT(B130,"dddd")</f>
        <v>Friday</v>
      </c>
      <c r="D130" s="9" t="s">
        <v>43</v>
      </c>
      <c r="E130" s="9" t="s">
        <v>51</v>
      </c>
      <c r="F130" s="16" t="n">
        <f aca="false">INDEX('Plan Reference'!$C$5:$C$22,MATCH(E130,'Plan Reference'!$B$5:$B$22,0))</f>
        <v>3</v>
      </c>
      <c r="G130" s="16" t="str">
        <f aca="false">INDEX('Plan Reference'!$D$5:$D$22,MATCH(E130,'Plan Reference'!$B$5:$B$22,0))</f>
        <v>30 sec</v>
      </c>
      <c r="H130" s="10"/>
      <c r="I130" s="10"/>
      <c r="J130" s="10"/>
      <c r="K130" s="17"/>
    </row>
    <row r="131" customFormat="false" ht="15" hidden="false" customHeight="false" outlineLevel="0" collapsed="false">
      <c r="A131" s="7" t="n">
        <v>8</v>
      </c>
      <c r="B131" s="11" t="n">
        <f aca="false">Settings!$B$4+(A131-1)*7+0</f>
        <v>46258</v>
      </c>
      <c r="C131" s="5" t="str">
        <f aca="false">TEXT(B131,"dddd")</f>
        <v>Monday</v>
      </c>
      <c r="D131" s="5" t="s">
        <v>24</v>
      </c>
      <c r="E131" s="5" t="s">
        <v>25</v>
      </c>
      <c r="F131" s="13" t="n">
        <f aca="false">INDEX('Plan Reference'!$C$5:$C$22,MATCH(E131,'Plan Reference'!$B$5:$B$22,0))</f>
        <v>3</v>
      </c>
      <c r="G131" s="13" t="str">
        <f aca="false">INDEX('Plan Reference'!$D$5:$D$22,MATCH(E131,'Plan Reference'!$B$5:$B$22,0))</f>
        <v>12</v>
      </c>
      <c r="H131" s="7"/>
      <c r="I131" s="7"/>
      <c r="J131" s="7"/>
    </row>
    <row r="132" customFormat="false" ht="15" hidden="false" customHeight="false" outlineLevel="0" collapsed="false">
      <c r="A132" s="10" t="n">
        <v>8</v>
      </c>
      <c r="B132" s="14" t="n">
        <f aca="false">Settings!$B$4+(A132-1)*7+0</f>
        <v>46258</v>
      </c>
      <c r="C132" s="9" t="str">
        <f aca="false">TEXT(B132,"dddd")</f>
        <v>Monday</v>
      </c>
      <c r="D132" s="9" t="s">
        <v>24</v>
      </c>
      <c r="E132" s="9" t="s">
        <v>27</v>
      </c>
      <c r="F132" s="16" t="n">
        <f aca="false">INDEX('Plan Reference'!$C$5:$C$22,MATCH(E132,'Plan Reference'!$B$5:$B$22,0))</f>
        <v>3</v>
      </c>
      <c r="G132" s="16" t="str">
        <f aca="false">INDEX('Plan Reference'!$D$5:$D$22,MATCH(E132,'Plan Reference'!$B$5:$B$22,0))</f>
        <v>12</v>
      </c>
      <c r="H132" s="10"/>
      <c r="I132" s="10"/>
      <c r="J132" s="10"/>
      <c r="K132" s="17"/>
    </row>
    <row r="133" customFormat="false" ht="15" hidden="false" customHeight="false" outlineLevel="0" collapsed="false">
      <c r="A133" s="7" t="n">
        <v>8</v>
      </c>
      <c r="B133" s="11" t="n">
        <f aca="false">Settings!$B$4+(A133-1)*7+0</f>
        <v>46258</v>
      </c>
      <c r="C133" s="5" t="str">
        <f aca="false">TEXT(B133,"dddd")</f>
        <v>Monday</v>
      </c>
      <c r="D133" s="5" t="s">
        <v>24</v>
      </c>
      <c r="E133" s="5" t="s">
        <v>28</v>
      </c>
      <c r="F133" s="13" t="n">
        <f aca="false">INDEX('Plan Reference'!$C$5:$C$22,MATCH(E133,'Plan Reference'!$B$5:$B$22,0))</f>
        <v>3</v>
      </c>
      <c r="G133" s="13" t="str">
        <f aca="false">INDEX('Plan Reference'!$D$5:$D$22,MATCH(E133,'Plan Reference'!$B$5:$B$22,0))</f>
        <v>10/leg</v>
      </c>
      <c r="H133" s="7"/>
      <c r="I133" s="7"/>
      <c r="J133" s="7"/>
    </row>
    <row r="134" customFormat="false" ht="15" hidden="false" customHeight="false" outlineLevel="0" collapsed="false">
      <c r="A134" s="10" t="n">
        <v>8</v>
      </c>
      <c r="B134" s="14" t="n">
        <f aca="false">Settings!$B$4+(A134-1)*7+0</f>
        <v>46258</v>
      </c>
      <c r="C134" s="9" t="str">
        <f aca="false">TEXT(B134,"dddd")</f>
        <v>Monday</v>
      </c>
      <c r="D134" s="9" t="s">
        <v>24</v>
      </c>
      <c r="E134" s="9" t="s">
        <v>30</v>
      </c>
      <c r="F134" s="16" t="n">
        <f aca="false">INDEX('Plan Reference'!$C$5:$C$22,MATCH(E134,'Plan Reference'!$B$5:$B$22,0))</f>
        <v>3</v>
      </c>
      <c r="G134" s="16" t="str">
        <f aca="false">INDEX('Plan Reference'!$D$5:$D$22,MATCH(E134,'Plan Reference'!$B$5:$B$22,0))</f>
        <v>15</v>
      </c>
      <c r="H134" s="10"/>
      <c r="I134" s="10"/>
      <c r="J134" s="10"/>
      <c r="K134" s="17"/>
    </row>
    <row r="135" customFormat="false" ht="15" hidden="false" customHeight="false" outlineLevel="0" collapsed="false">
      <c r="A135" s="7" t="n">
        <v>8</v>
      </c>
      <c r="B135" s="11" t="n">
        <f aca="false">Settings!$B$4+(A135-1)*7+0</f>
        <v>46258</v>
      </c>
      <c r="C135" s="5" t="str">
        <f aca="false">TEXT(B135,"dddd")</f>
        <v>Monday</v>
      </c>
      <c r="D135" s="5" t="s">
        <v>24</v>
      </c>
      <c r="E135" s="5" t="s">
        <v>32</v>
      </c>
      <c r="F135" s="13" t="n">
        <f aca="false">INDEX('Plan Reference'!$C$5:$C$22,MATCH(E135,'Plan Reference'!$B$5:$B$22,0))</f>
        <v>3</v>
      </c>
      <c r="G135" s="13" t="str">
        <f aca="false">INDEX('Plan Reference'!$D$5:$D$22,MATCH(E135,'Plan Reference'!$B$5:$B$22,0))</f>
        <v>30-45 sec</v>
      </c>
      <c r="H135" s="7"/>
      <c r="I135" s="7"/>
      <c r="J135" s="7"/>
    </row>
    <row r="136" customFormat="false" ht="15" hidden="false" customHeight="false" outlineLevel="0" collapsed="false">
      <c r="A136" s="10" t="n">
        <v>8</v>
      </c>
      <c r="B136" s="14" t="n">
        <f aca="false">Settings!$B$4+(A136-1)*7+0</f>
        <v>46258</v>
      </c>
      <c r="C136" s="9" t="str">
        <f aca="false">TEXT(B136,"dddd")</f>
        <v>Monday</v>
      </c>
      <c r="D136" s="9" t="s">
        <v>24</v>
      </c>
      <c r="E136" s="9" t="s">
        <v>34</v>
      </c>
      <c r="F136" s="16" t="n">
        <f aca="false">INDEX('Plan Reference'!$C$5:$C$22,MATCH(E136,'Plan Reference'!$B$5:$B$22,0))</f>
        <v>3</v>
      </c>
      <c r="G136" s="16" t="str">
        <f aca="false">INDEX('Plan Reference'!$D$5:$D$22,MATCH(E136,'Plan Reference'!$B$5:$B$22,0))</f>
        <v>15</v>
      </c>
      <c r="H136" s="10"/>
      <c r="I136" s="10"/>
      <c r="J136" s="10"/>
      <c r="K136" s="17"/>
    </row>
    <row r="137" customFormat="false" ht="15" hidden="false" customHeight="false" outlineLevel="0" collapsed="false">
      <c r="A137" s="7" t="n">
        <v>8</v>
      </c>
      <c r="B137" s="11" t="n">
        <f aca="false">Settings!$B$4+(A137-1)*7+2</f>
        <v>46260</v>
      </c>
      <c r="C137" s="5" t="str">
        <f aca="false">TEXT(B137,"dddd")</f>
        <v>Wednesday</v>
      </c>
      <c r="D137" s="5" t="s">
        <v>35</v>
      </c>
      <c r="E137" s="5" t="s">
        <v>36</v>
      </c>
      <c r="F137" s="13" t="n">
        <f aca="false">INDEX('Plan Reference'!$C$5:$C$22,MATCH(E137,'Plan Reference'!$B$5:$B$22,0))</f>
        <v>3</v>
      </c>
      <c r="G137" s="13" t="str">
        <f aca="false">INDEX('Plan Reference'!$D$5:$D$22,MATCH(E137,'Plan Reference'!$B$5:$B$22,0))</f>
        <v>12</v>
      </c>
      <c r="H137" s="7"/>
      <c r="I137" s="7"/>
      <c r="J137" s="7"/>
    </row>
    <row r="138" customFormat="false" ht="15" hidden="false" customHeight="false" outlineLevel="0" collapsed="false">
      <c r="A138" s="10" t="n">
        <v>8</v>
      </c>
      <c r="B138" s="14" t="n">
        <f aca="false">Settings!$B$4+(A138-1)*7+2</f>
        <v>46260</v>
      </c>
      <c r="C138" s="9" t="str">
        <f aca="false">TEXT(B138,"dddd")</f>
        <v>Wednesday</v>
      </c>
      <c r="D138" s="9" t="s">
        <v>35</v>
      </c>
      <c r="E138" s="9" t="s">
        <v>37</v>
      </c>
      <c r="F138" s="16" t="n">
        <f aca="false">INDEX('Plan Reference'!$C$5:$C$22,MATCH(E138,'Plan Reference'!$B$5:$B$22,0))</f>
        <v>3</v>
      </c>
      <c r="G138" s="16" t="str">
        <f aca="false">INDEX('Plan Reference'!$D$5:$D$22,MATCH(E138,'Plan Reference'!$B$5:$B$22,0))</f>
        <v>12</v>
      </c>
      <c r="H138" s="10"/>
      <c r="I138" s="10"/>
      <c r="J138" s="10"/>
      <c r="K138" s="17"/>
    </row>
    <row r="139" customFormat="false" ht="15" hidden="false" customHeight="false" outlineLevel="0" collapsed="false">
      <c r="A139" s="7" t="n">
        <v>8</v>
      </c>
      <c r="B139" s="11" t="n">
        <f aca="false">Settings!$B$4+(A139-1)*7+2</f>
        <v>46260</v>
      </c>
      <c r="C139" s="5" t="str">
        <f aca="false">TEXT(B139,"dddd")</f>
        <v>Wednesday</v>
      </c>
      <c r="D139" s="5" t="s">
        <v>35</v>
      </c>
      <c r="E139" s="5" t="s">
        <v>38</v>
      </c>
      <c r="F139" s="13" t="n">
        <f aca="false">INDEX('Plan Reference'!$C$5:$C$22,MATCH(E139,'Plan Reference'!$B$5:$B$22,0))</f>
        <v>3</v>
      </c>
      <c r="G139" s="13" t="str">
        <f aca="false">INDEX('Plan Reference'!$D$5:$D$22,MATCH(E139,'Plan Reference'!$B$5:$B$22,0))</f>
        <v>12</v>
      </c>
      <c r="H139" s="7"/>
      <c r="I139" s="7"/>
      <c r="J139" s="7"/>
    </row>
    <row r="140" customFormat="false" ht="15" hidden="false" customHeight="false" outlineLevel="0" collapsed="false">
      <c r="A140" s="10" t="n">
        <v>8</v>
      </c>
      <c r="B140" s="14" t="n">
        <f aca="false">Settings!$B$4+(A140-1)*7+2</f>
        <v>46260</v>
      </c>
      <c r="C140" s="9" t="str">
        <f aca="false">TEXT(B140,"dddd")</f>
        <v>Wednesday</v>
      </c>
      <c r="D140" s="9" t="s">
        <v>35</v>
      </c>
      <c r="E140" s="9" t="s">
        <v>39</v>
      </c>
      <c r="F140" s="16" t="n">
        <f aca="false">INDEX('Plan Reference'!$C$5:$C$22,MATCH(E140,'Plan Reference'!$B$5:$B$22,0))</f>
        <v>3</v>
      </c>
      <c r="G140" s="16" t="str">
        <f aca="false">INDEX('Plan Reference'!$D$5:$D$22,MATCH(E140,'Plan Reference'!$B$5:$B$22,0))</f>
        <v>15</v>
      </c>
      <c r="H140" s="10"/>
      <c r="I140" s="10"/>
      <c r="J140" s="10"/>
      <c r="K140" s="17"/>
    </row>
    <row r="141" customFormat="false" ht="15" hidden="false" customHeight="false" outlineLevel="0" collapsed="false">
      <c r="A141" s="7" t="n">
        <v>8</v>
      </c>
      <c r="B141" s="11" t="n">
        <f aca="false">Settings!$B$4+(A141-1)*7+2</f>
        <v>46260</v>
      </c>
      <c r="C141" s="5" t="str">
        <f aca="false">TEXT(B141,"dddd")</f>
        <v>Wednesday</v>
      </c>
      <c r="D141" s="5" t="s">
        <v>35</v>
      </c>
      <c r="E141" s="5" t="s">
        <v>40</v>
      </c>
      <c r="F141" s="13" t="n">
        <f aca="false">INDEX('Plan Reference'!$C$5:$C$22,MATCH(E141,'Plan Reference'!$B$5:$B$22,0))</f>
        <v>3</v>
      </c>
      <c r="G141" s="13" t="str">
        <f aca="false">INDEX('Plan Reference'!$D$5:$D$22,MATCH(E141,'Plan Reference'!$B$5:$B$22,0))</f>
        <v>12</v>
      </c>
      <c r="H141" s="7"/>
      <c r="I141" s="7"/>
      <c r="J141" s="7"/>
    </row>
    <row r="142" customFormat="false" ht="15" hidden="false" customHeight="false" outlineLevel="0" collapsed="false">
      <c r="A142" s="10" t="n">
        <v>8</v>
      </c>
      <c r="B142" s="14" t="n">
        <f aca="false">Settings!$B$4+(A142-1)*7+2</f>
        <v>46260</v>
      </c>
      <c r="C142" s="9" t="str">
        <f aca="false">TEXT(B142,"dddd")</f>
        <v>Wednesday</v>
      </c>
      <c r="D142" s="9" t="s">
        <v>35</v>
      </c>
      <c r="E142" s="9" t="s">
        <v>41</v>
      </c>
      <c r="F142" s="16" t="n">
        <f aca="false">INDEX('Plan Reference'!$C$5:$C$22,MATCH(E142,'Plan Reference'!$B$5:$B$22,0))</f>
        <v>3</v>
      </c>
      <c r="G142" s="16" t="str">
        <f aca="false">INDEX('Plan Reference'!$D$5:$D$22,MATCH(E142,'Plan Reference'!$B$5:$B$22,0))</f>
        <v>12/side</v>
      </c>
      <c r="H142" s="10"/>
      <c r="I142" s="10"/>
      <c r="J142" s="10"/>
      <c r="K142" s="17"/>
    </row>
    <row r="143" customFormat="false" ht="15" hidden="false" customHeight="false" outlineLevel="0" collapsed="false">
      <c r="A143" s="7" t="n">
        <v>8</v>
      </c>
      <c r="B143" s="11" t="n">
        <f aca="false">Settings!$B$4+(A143-1)*7+4</f>
        <v>46262</v>
      </c>
      <c r="C143" s="5" t="str">
        <f aca="false">TEXT(B143,"dddd")</f>
        <v>Friday</v>
      </c>
      <c r="D143" s="5" t="s">
        <v>43</v>
      </c>
      <c r="E143" s="5" t="s">
        <v>44</v>
      </c>
      <c r="F143" s="13" t="n">
        <f aca="false">INDEX('Plan Reference'!$C$5:$C$22,MATCH(E143,'Plan Reference'!$B$5:$B$22,0))</f>
        <v>3</v>
      </c>
      <c r="G143" s="13" t="str">
        <f aca="false">INDEX('Plan Reference'!$D$5:$D$22,MATCH(E143,'Plan Reference'!$B$5:$B$22,0))</f>
        <v>12</v>
      </c>
      <c r="H143" s="7"/>
      <c r="I143" s="7"/>
      <c r="J143" s="7"/>
    </row>
    <row r="144" customFormat="false" ht="15" hidden="false" customHeight="false" outlineLevel="0" collapsed="false">
      <c r="A144" s="10" t="n">
        <v>8</v>
      </c>
      <c r="B144" s="14" t="n">
        <f aca="false">Settings!$B$4+(A144-1)*7+4</f>
        <v>46262</v>
      </c>
      <c r="C144" s="9" t="str">
        <f aca="false">TEXT(B144,"dddd")</f>
        <v>Friday</v>
      </c>
      <c r="D144" s="9" t="s">
        <v>43</v>
      </c>
      <c r="E144" s="9" t="s">
        <v>45</v>
      </c>
      <c r="F144" s="16" t="n">
        <f aca="false">INDEX('Plan Reference'!$C$5:$C$22,MATCH(E144,'Plan Reference'!$B$5:$B$22,0))</f>
        <v>3</v>
      </c>
      <c r="G144" s="16" t="str">
        <f aca="false">INDEX('Plan Reference'!$D$5:$D$22,MATCH(E144,'Plan Reference'!$B$5:$B$22,0))</f>
        <v>10/side</v>
      </c>
      <c r="H144" s="10"/>
      <c r="I144" s="10"/>
      <c r="J144" s="10"/>
      <c r="K144" s="17"/>
    </row>
    <row r="145" customFormat="false" ht="15" hidden="false" customHeight="false" outlineLevel="0" collapsed="false">
      <c r="A145" s="7" t="n">
        <v>8</v>
      </c>
      <c r="B145" s="11" t="n">
        <f aca="false">Settings!$B$4+(A145-1)*7+4</f>
        <v>46262</v>
      </c>
      <c r="C145" s="5" t="str">
        <f aca="false">TEXT(B145,"dddd")</f>
        <v>Friday</v>
      </c>
      <c r="D145" s="5" t="s">
        <v>43</v>
      </c>
      <c r="E145" s="5" t="s">
        <v>47</v>
      </c>
      <c r="F145" s="13" t="n">
        <f aca="false">INDEX('Plan Reference'!$C$5:$C$22,MATCH(E145,'Plan Reference'!$B$5:$B$22,0))</f>
        <v>3</v>
      </c>
      <c r="G145" s="13" t="str">
        <f aca="false">INDEX('Plan Reference'!$D$5:$D$22,MATCH(E145,'Plan Reference'!$B$5:$B$22,0))</f>
        <v>10/leg</v>
      </c>
      <c r="H145" s="7"/>
      <c r="I145" s="7"/>
      <c r="J145" s="7"/>
    </row>
    <row r="146" customFormat="false" ht="15" hidden="false" customHeight="false" outlineLevel="0" collapsed="false">
      <c r="A146" s="10" t="n">
        <v>8</v>
      </c>
      <c r="B146" s="14" t="n">
        <f aca="false">Settings!$B$4+(A146-1)*7+4</f>
        <v>46262</v>
      </c>
      <c r="C146" s="9" t="str">
        <f aca="false">TEXT(B146,"dddd")</f>
        <v>Friday</v>
      </c>
      <c r="D146" s="9" t="s">
        <v>43</v>
      </c>
      <c r="E146" s="9" t="s">
        <v>48</v>
      </c>
      <c r="F146" s="16" t="n">
        <f aca="false">INDEX('Plan Reference'!$C$5:$C$22,MATCH(E146,'Plan Reference'!$B$5:$B$22,0))</f>
        <v>3</v>
      </c>
      <c r="G146" s="16" t="str">
        <f aca="false">INDEX('Plan Reference'!$D$5:$D$22,MATCH(E146,'Plan Reference'!$B$5:$B$22,0))</f>
        <v>12/side</v>
      </c>
      <c r="H146" s="10"/>
      <c r="I146" s="10"/>
      <c r="J146" s="10"/>
      <c r="K146" s="17"/>
    </row>
    <row r="147" customFormat="false" ht="15" hidden="false" customHeight="false" outlineLevel="0" collapsed="false">
      <c r="A147" s="7" t="n">
        <v>8</v>
      </c>
      <c r="B147" s="11" t="n">
        <f aca="false">Settings!$B$4+(A147-1)*7+4</f>
        <v>46262</v>
      </c>
      <c r="C147" s="5" t="str">
        <f aca="false">TEXT(B147,"dddd")</f>
        <v>Friday</v>
      </c>
      <c r="D147" s="5" t="s">
        <v>43</v>
      </c>
      <c r="E147" s="5" t="s">
        <v>49</v>
      </c>
      <c r="F147" s="13" t="n">
        <f aca="false">INDEX('Plan Reference'!$C$5:$C$22,MATCH(E147,'Plan Reference'!$B$5:$B$22,0))</f>
        <v>3</v>
      </c>
      <c r="G147" s="13" t="str">
        <f aca="false">INDEX('Plan Reference'!$D$5:$D$22,MATCH(E147,'Plan Reference'!$B$5:$B$22,0))</f>
        <v>20-30 sec/side</v>
      </c>
      <c r="H147" s="7"/>
      <c r="I147" s="7"/>
      <c r="J147" s="7"/>
    </row>
    <row r="148" customFormat="false" ht="15" hidden="false" customHeight="false" outlineLevel="0" collapsed="false">
      <c r="A148" s="10" t="n">
        <v>8</v>
      </c>
      <c r="B148" s="14" t="n">
        <f aca="false">Settings!$B$4+(A148-1)*7+4</f>
        <v>46262</v>
      </c>
      <c r="C148" s="9" t="str">
        <f aca="false">TEXT(B148,"dddd")</f>
        <v>Friday</v>
      </c>
      <c r="D148" s="9" t="s">
        <v>43</v>
      </c>
      <c r="E148" s="9" t="s">
        <v>51</v>
      </c>
      <c r="F148" s="16" t="n">
        <f aca="false">INDEX('Plan Reference'!$C$5:$C$22,MATCH(E148,'Plan Reference'!$B$5:$B$22,0))</f>
        <v>3</v>
      </c>
      <c r="G148" s="16" t="str">
        <f aca="false">INDEX('Plan Reference'!$D$5:$D$22,MATCH(E148,'Plan Reference'!$B$5:$B$22,0))</f>
        <v>30 sec</v>
      </c>
      <c r="H148" s="10"/>
      <c r="I148" s="10"/>
      <c r="J148" s="10"/>
      <c r="K148" s="17"/>
    </row>
    <row r="149" customFormat="false" ht="15" hidden="false" customHeight="false" outlineLevel="0" collapsed="false">
      <c r="A149" s="7" t="n">
        <v>9</v>
      </c>
      <c r="B149" s="11" t="n">
        <f aca="false">Settings!$B$4+(A149-1)*7+0</f>
        <v>46265</v>
      </c>
      <c r="C149" s="5" t="str">
        <f aca="false">TEXT(B149,"dddd")</f>
        <v>Monday</v>
      </c>
      <c r="D149" s="5" t="s">
        <v>24</v>
      </c>
      <c r="E149" s="5" t="s">
        <v>25</v>
      </c>
      <c r="F149" s="13" t="n">
        <f aca="false">INDEX('Plan Reference'!$C$5:$C$22,MATCH(E149,'Plan Reference'!$B$5:$B$22,0))</f>
        <v>3</v>
      </c>
      <c r="G149" s="13" t="str">
        <f aca="false">INDEX('Plan Reference'!$D$5:$D$22,MATCH(E149,'Plan Reference'!$B$5:$B$22,0))</f>
        <v>12</v>
      </c>
      <c r="H149" s="7"/>
      <c r="I149" s="7"/>
      <c r="J149" s="7"/>
    </row>
    <row r="150" customFormat="false" ht="15" hidden="false" customHeight="false" outlineLevel="0" collapsed="false">
      <c r="A150" s="10" t="n">
        <v>9</v>
      </c>
      <c r="B150" s="14" t="n">
        <f aca="false">Settings!$B$4+(A150-1)*7+0</f>
        <v>46265</v>
      </c>
      <c r="C150" s="9" t="str">
        <f aca="false">TEXT(B150,"dddd")</f>
        <v>Monday</v>
      </c>
      <c r="D150" s="9" t="s">
        <v>24</v>
      </c>
      <c r="E150" s="9" t="s">
        <v>27</v>
      </c>
      <c r="F150" s="16" t="n">
        <f aca="false">INDEX('Plan Reference'!$C$5:$C$22,MATCH(E150,'Plan Reference'!$B$5:$B$22,0))</f>
        <v>3</v>
      </c>
      <c r="G150" s="16" t="str">
        <f aca="false">INDEX('Plan Reference'!$D$5:$D$22,MATCH(E150,'Plan Reference'!$B$5:$B$22,0))</f>
        <v>12</v>
      </c>
      <c r="H150" s="10"/>
      <c r="I150" s="10"/>
      <c r="J150" s="10"/>
      <c r="K150" s="17"/>
    </row>
    <row r="151" customFormat="false" ht="15" hidden="false" customHeight="false" outlineLevel="0" collapsed="false">
      <c r="A151" s="7" t="n">
        <v>9</v>
      </c>
      <c r="B151" s="11" t="n">
        <f aca="false">Settings!$B$4+(A151-1)*7+0</f>
        <v>46265</v>
      </c>
      <c r="C151" s="5" t="str">
        <f aca="false">TEXT(B151,"dddd")</f>
        <v>Monday</v>
      </c>
      <c r="D151" s="5" t="s">
        <v>24</v>
      </c>
      <c r="E151" s="5" t="s">
        <v>28</v>
      </c>
      <c r="F151" s="13" t="n">
        <f aca="false">INDEX('Plan Reference'!$C$5:$C$22,MATCH(E151,'Plan Reference'!$B$5:$B$22,0))</f>
        <v>3</v>
      </c>
      <c r="G151" s="13" t="str">
        <f aca="false">INDEX('Plan Reference'!$D$5:$D$22,MATCH(E151,'Plan Reference'!$B$5:$B$22,0))</f>
        <v>10/leg</v>
      </c>
      <c r="H151" s="7"/>
      <c r="I151" s="7"/>
      <c r="J151" s="7"/>
    </row>
    <row r="152" customFormat="false" ht="15" hidden="false" customHeight="false" outlineLevel="0" collapsed="false">
      <c r="A152" s="10" t="n">
        <v>9</v>
      </c>
      <c r="B152" s="14" t="n">
        <f aca="false">Settings!$B$4+(A152-1)*7+0</f>
        <v>46265</v>
      </c>
      <c r="C152" s="9" t="str">
        <f aca="false">TEXT(B152,"dddd")</f>
        <v>Monday</v>
      </c>
      <c r="D152" s="9" t="s">
        <v>24</v>
      </c>
      <c r="E152" s="9" t="s">
        <v>30</v>
      </c>
      <c r="F152" s="16" t="n">
        <f aca="false">INDEX('Plan Reference'!$C$5:$C$22,MATCH(E152,'Plan Reference'!$B$5:$B$22,0))</f>
        <v>3</v>
      </c>
      <c r="G152" s="16" t="str">
        <f aca="false">INDEX('Plan Reference'!$D$5:$D$22,MATCH(E152,'Plan Reference'!$B$5:$B$22,0))</f>
        <v>15</v>
      </c>
      <c r="H152" s="10"/>
      <c r="I152" s="10"/>
      <c r="J152" s="10"/>
      <c r="K152" s="17"/>
    </row>
    <row r="153" customFormat="false" ht="15" hidden="false" customHeight="false" outlineLevel="0" collapsed="false">
      <c r="A153" s="7" t="n">
        <v>9</v>
      </c>
      <c r="B153" s="11" t="n">
        <f aca="false">Settings!$B$4+(A153-1)*7+0</f>
        <v>46265</v>
      </c>
      <c r="C153" s="5" t="str">
        <f aca="false">TEXT(B153,"dddd")</f>
        <v>Monday</v>
      </c>
      <c r="D153" s="5" t="s">
        <v>24</v>
      </c>
      <c r="E153" s="5" t="s">
        <v>32</v>
      </c>
      <c r="F153" s="13" t="n">
        <f aca="false">INDEX('Plan Reference'!$C$5:$C$22,MATCH(E153,'Plan Reference'!$B$5:$B$22,0))</f>
        <v>3</v>
      </c>
      <c r="G153" s="13" t="str">
        <f aca="false">INDEX('Plan Reference'!$D$5:$D$22,MATCH(E153,'Plan Reference'!$B$5:$B$22,0))</f>
        <v>30-45 sec</v>
      </c>
      <c r="H153" s="7"/>
      <c r="I153" s="7"/>
      <c r="J153" s="7"/>
    </row>
    <row r="154" customFormat="false" ht="15" hidden="false" customHeight="false" outlineLevel="0" collapsed="false">
      <c r="A154" s="10" t="n">
        <v>9</v>
      </c>
      <c r="B154" s="14" t="n">
        <f aca="false">Settings!$B$4+(A154-1)*7+0</f>
        <v>46265</v>
      </c>
      <c r="C154" s="9" t="str">
        <f aca="false">TEXT(B154,"dddd")</f>
        <v>Monday</v>
      </c>
      <c r="D154" s="9" t="s">
        <v>24</v>
      </c>
      <c r="E154" s="9" t="s">
        <v>34</v>
      </c>
      <c r="F154" s="16" t="n">
        <f aca="false">INDEX('Plan Reference'!$C$5:$C$22,MATCH(E154,'Plan Reference'!$B$5:$B$22,0))</f>
        <v>3</v>
      </c>
      <c r="G154" s="16" t="str">
        <f aca="false">INDEX('Plan Reference'!$D$5:$D$22,MATCH(E154,'Plan Reference'!$B$5:$B$22,0))</f>
        <v>15</v>
      </c>
      <c r="H154" s="10"/>
      <c r="I154" s="10"/>
      <c r="J154" s="10"/>
      <c r="K154" s="17"/>
    </row>
    <row r="155" customFormat="false" ht="15" hidden="false" customHeight="false" outlineLevel="0" collapsed="false">
      <c r="A155" s="7" t="n">
        <v>9</v>
      </c>
      <c r="B155" s="11" t="n">
        <f aca="false">Settings!$B$4+(A155-1)*7+2</f>
        <v>46267</v>
      </c>
      <c r="C155" s="5" t="str">
        <f aca="false">TEXT(B155,"dddd")</f>
        <v>Wednesday</v>
      </c>
      <c r="D155" s="5" t="s">
        <v>35</v>
      </c>
      <c r="E155" s="5" t="s">
        <v>36</v>
      </c>
      <c r="F155" s="13" t="n">
        <f aca="false">INDEX('Plan Reference'!$C$5:$C$22,MATCH(E155,'Plan Reference'!$B$5:$B$22,0))</f>
        <v>3</v>
      </c>
      <c r="G155" s="13" t="str">
        <f aca="false">INDEX('Plan Reference'!$D$5:$D$22,MATCH(E155,'Plan Reference'!$B$5:$B$22,0))</f>
        <v>12</v>
      </c>
      <c r="H155" s="7"/>
      <c r="I155" s="7"/>
      <c r="J155" s="7"/>
    </row>
    <row r="156" customFormat="false" ht="15" hidden="false" customHeight="false" outlineLevel="0" collapsed="false">
      <c r="A156" s="10" t="n">
        <v>9</v>
      </c>
      <c r="B156" s="14" t="n">
        <f aca="false">Settings!$B$4+(A156-1)*7+2</f>
        <v>46267</v>
      </c>
      <c r="C156" s="9" t="str">
        <f aca="false">TEXT(B156,"dddd")</f>
        <v>Wednesday</v>
      </c>
      <c r="D156" s="9" t="s">
        <v>35</v>
      </c>
      <c r="E156" s="9" t="s">
        <v>37</v>
      </c>
      <c r="F156" s="16" t="n">
        <f aca="false">INDEX('Plan Reference'!$C$5:$C$22,MATCH(E156,'Plan Reference'!$B$5:$B$22,0))</f>
        <v>3</v>
      </c>
      <c r="G156" s="16" t="str">
        <f aca="false">INDEX('Plan Reference'!$D$5:$D$22,MATCH(E156,'Plan Reference'!$B$5:$B$22,0))</f>
        <v>12</v>
      </c>
      <c r="H156" s="10"/>
      <c r="I156" s="10"/>
      <c r="J156" s="10"/>
      <c r="K156" s="17"/>
    </row>
    <row r="157" customFormat="false" ht="15" hidden="false" customHeight="false" outlineLevel="0" collapsed="false">
      <c r="A157" s="7" t="n">
        <v>9</v>
      </c>
      <c r="B157" s="11" t="n">
        <f aca="false">Settings!$B$4+(A157-1)*7+2</f>
        <v>46267</v>
      </c>
      <c r="C157" s="5" t="str">
        <f aca="false">TEXT(B157,"dddd")</f>
        <v>Wednesday</v>
      </c>
      <c r="D157" s="5" t="s">
        <v>35</v>
      </c>
      <c r="E157" s="5" t="s">
        <v>38</v>
      </c>
      <c r="F157" s="13" t="n">
        <f aca="false">INDEX('Plan Reference'!$C$5:$C$22,MATCH(E157,'Plan Reference'!$B$5:$B$22,0))</f>
        <v>3</v>
      </c>
      <c r="G157" s="13" t="str">
        <f aca="false">INDEX('Plan Reference'!$D$5:$D$22,MATCH(E157,'Plan Reference'!$B$5:$B$22,0))</f>
        <v>12</v>
      </c>
      <c r="H157" s="7"/>
      <c r="I157" s="7"/>
      <c r="J157" s="7"/>
    </row>
    <row r="158" customFormat="false" ht="15" hidden="false" customHeight="false" outlineLevel="0" collapsed="false">
      <c r="A158" s="10" t="n">
        <v>9</v>
      </c>
      <c r="B158" s="14" t="n">
        <f aca="false">Settings!$B$4+(A158-1)*7+2</f>
        <v>46267</v>
      </c>
      <c r="C158" s="9" t="str">
        <f aca="false">TEXT(B158,"dddd")</f>
        <v>Wednesday</v>
      </c>
      <c r="D158" s="9" t="s">
        <v>35</v>
      </c>
      <c r="E158" s="9" t="s">
        <v>39</v>
      </c>
      <c r="F158" s="16" t="n">
        <f aca="false">INDEX('Plan Reference'!$C$5:$C$22,MATCH(E158,'Plan Reference'!$B$5:$B$22,0))</f>
        <v>3</v>
      </c>
      <c r="G158" s="16" t="str">
        <f aca="false">INDEX('Plan Reference'!$D$5:$D$22,MATCH(E158,'Plan Reference'!$B$5:$B$22,0))</f>
        <v>15</v>
      </c>
      <c r="H158" s="10"/>
      <c r="I158" s="10"/>
      <c r="J158" s="10"/>
      <c r="K158" s="17"/>
    </row>
    <row r="159" customFormat="false" ht="15" hidden="false" customHeight="false" outlineLevel="0" collapsed="false">
      <c r="A159" s="7" t="n">
        <v>9</v>
      </c>
      <c r="B159" s="11" t="n">
        <f aca="false">Settings!$B$4+(A159-1)*7+2</f>
        <v>46267</v>
      </c>
      <c r="C159" s="5" t="str">
        <f aca="false">TEXT(B159,"dddd")</f>
        <v>Wednesday</v>
      </c>
      <c r="D159" s="5" t="s">
        <v>35</v>
      </c>
      <c r="E159" s="5" t="s">
        <v>40</v>
      </c>
      <c r="F159" s="13" t="n">
        <f aca="false">INDEX('Plan Reference'!$C$5:$C$22,MATCH(E159,'Plan Reference'!$B$5:$B$22,0))</f>
        <v>3</v>
      </c>
      <c r="G159" s="13" t="str">
        <f aca="false">INDEX('Plan Reference'!$D$5:$D$22,MATCH(E159,'Plan Reference'!$B$5:$B$22,0))</f>
        <v>12</v>
      </c>
      <c r="H159" s="7"/>
      <c r="I159" s="7"/>
      <c r="J159" s="7"/>
    </row>
    <row r="160" customFormat="false" ht="15" hidden="false" customHeight="false" outlineLevel="0" collapsed="false">
      <c r="A160" s="10" t="n">
        <v>9</v>
      </c>
      <c r="B160" s="14" t="n">
        <f aca="false">Settings!$B$4+(A160-1)*7+2</f>
        <v>46267</v>
      </c>
      <c r="C160" s="9" t="str">
        <f aca="false">TEXT(B160,"dddd")</f>
        <v>Wednesday</v>
      </c>
      <c r="D160" s="9" t="s">
        <v>35</v>
      </c>
      <c r="E160" s="9" t="s">
        <v>41</v>
      </c>
      <c r="F160" s="16" t="n">
        <f aca="false">INDEX('Plan Reference'!$C$5:$C$22,MATCH(E160,'Plan Reference'!$B$5:$B$22,0))</f>
        <v>3</v>
      </c>
      <c r="G160" s="16" t="str">
        <f aca="false">INDEX('Plan Reference'!$D$5:$D$22,MATCH(E160,'Plan Reference'!$B$5:$B$22,0))</f>
        <v>12/side</v>
      </c>
      <c r="H160" s="10"/>
      <c r="I160" s="10"/>
      <c r="J160" s="10"/>
      <c r="K160" s="17"/>
    </row>
    <row r="161" customFormat="false" ht="15" hidden="false" customHeight="false" outlineLevel="0" collapsed="false">
      <c r="A161" s="7" t="n">
        <v>9</v>
      </c>
      <c r="B161" s="11" t="n">
        <f aca="false">Settings!$B$4+(A161-1)*7+4</f>
        <v>46269</v>
      </c>
      <c r="C161" s="5" t="str">
        <f aca="false">TEXT(B161,"dddd")</f>
        <v>Friday</v>
      </c>
      <c r="D161" s="5" t="s">
        <v>43</v>
      </c>
      <c r="E161" s="5" t="s">
        <v>44</v>
      </c>
      <c r="F161" s="13" t="n">
        <f aca="false">INDEX('Plan Reference'!$C$5:$C$22,MATCH(E161,'Plan Reference'!$B$5:$B$22,0))</f>
        <v>3</v>
      </c>
      <c r="G161" s="13" t="str">
        <f aca="false">INDEX('Plan Reference'!$D$5:$D$22,MATCH(E161,'Plan Reference'!$B$5:$B$22,0))</f>
        <v>12</v>
      </c>
      <c r="H161" s="7"/>
      <c r="I161" s="7"/>
      <c r="J161" s="7"/>
    </row>
    <row r="162" customFormat="false" ht="15" hidden="false" customHeight="false" outlineLevel="0" collapsed="false">
      <c r="A162" s="10" t="n">
        <v>9</v>
      </c>
      <c r="B162" s="14" t="n">
        <f aca="false">Settings!$B$4+(A162-1)*7+4</f>
        <v>46269</v>
      </c>
      <c r="C162" s="9" t="str">
        <f aca="false">TEXT(B162,"dddd")</f>
        <v>Friday</v>
      </c>
      <c r="D162" s="9" t="s">
        <v>43</v>
      </c>
      <c r="E162" s="9" t="s">
        <v>45</v>
      </c>
      <c r="F162" s="16" t="n">
        <f aca="false">INDEX('Plan Reference'!$C$5:$C$22,MATCH(E162,'Plan Reference'!$B$5:$B$22,0))</f>
        <v>3</v>
      </c>
      <c r="G162" s="16" t="str">
        <f aca="false">INDEX('Plan Reference'!$D$5:$D$22,MATCH(E162,'Plan Reference'!$B$5:$B$22,0))</f>
        <v>10/side</v>
      </c>
      <c r="H162" s="10"/>
      <c r="I162" s="10"/>
      <c r="J162" s="10"/>
      <c r="K162" s="17"/>
    </row>
    <row r="163" customFormat="false" ht="15" hidden="false" customHeight="false" outlineLevel="0" collapsed="false">
      <c r="A163" s="7" t="n">
        <v>9</v>
      </c>
      <c r="B163" s="11" t="n">
        <f aca="false">Settings!$B$4+(A163-1)*7+4</f>
        <v>46269</v>
      </c>
      <c r="C163" s="5" t="str">
        <f aca="false">TEXT(B163,"dddd")</f>
        <v>Friday</v>
      </c>
      <c r="D163" s="5" t="s">
        <v>43</v>
      </c>
      <c r="E163" s="5" t="s">
        <v>47</v>
      </c>
      <c r="F163" s="13" t="n">
        <f aca="false">INDEX('Plan Reference'!$C$5:$C$22,MATCH(E163,'Plan Reference'!$B$5:$B$22,0))</f>
        <v>3</v>
      </c>
      <c r="G163" s="13" t="str">
        <f aca="false">INDEX('Plan Reference'!$D$5:$D$22,MATCH(E163,'Plan Reference'!$B$5:$B$22,0))</f>
        <v>10/leg</v>
      </c>
      <c r="H163" s="7"/>
      <c r="I163" s="7"/>
      <c r="J163" s="7"/>
    </row>
    <row r="164" customFormat="false" ht="15" hidden="false" customHeight="false" outlineLevel="0" collapsed="false">
      <c r="A164" s="10" t="n">
        <v>9</v>
      </c>
      <c r="B164" s="14" t="n">
        <f aca="false">Settings!$B$4+(A164-1)*7+4</f>
        <v>46269</v>
      </c>
      <c r="C164" s="9" t="str">
        <f aca="false">TEXT(B164,"dddd")</f>
        <v>Friday</v>
      </c>
      <c r="D164" s="9" t="s">
        <v>43</v>
      </c>
      <c r="E164" s="9" t="s">
        <v>48</v>
      </c>
      <c r="F164" s="16" t="n">
        <f aca="false">INDEX('Plan Reference'!$C$5:$C$22,MATCH(E164,'Plan Reference'!$B$5:$B$22,0))</f>
        <v>3</v>
      </c>
      <c r="G164" s="16" t="str">
        <f aca="false">INDEX('Plan Reference'!$D$5:$D$22,MATCH(E164,'Plan Reference'!$B$5:$B$22,0))</f>
        <v>12/side</v>
      </c>
      <c r="H164" s="10"/>
      <c r="I164" s="10"/>
      <c r="J164" s="10"/>
      <c r="K164" s="17"/>
    </row>
    <row r="165" customFormat="false" ht="15" hidden="false" customHeight="false" outlineLevel="0" collapsed="false">
      <c r="A165" s="7" t="n">
        <v>9</v>
      </c>
      <c r="B165" s="11" t="n">
        <f aca="false">Settings!$B$4+(A165-1)*7+4</f>
        <v>46269</v>
      </c>
      <c r="C165" s="5" t="str">
        <f aca="false">TEXT(B165,"dddd")</f>
        <v>Friday</v>
      </c>
      <c r="D165" s="5" t="s">
        <v>43</v>
      </c>
      <c r="E165" s="5" t="s">
        <v>49</v>
      </c>
      <c r="F165" s="13" t="n">
        <f aca="false">INDEX('Plan Reference'!$C$5:$C$22,MATCH(E165,'Plan Reference'!$B$5:$B$22,0))</f>
        <v>3</v>
      </c>
      <c r="G165" s="13" t="str">
        <f aca="false">INDEX('Plan Reference'!$D$5:$D$22,MATCH(E165,'Plan Reference'!$B$5:$B$22,0))</f>
        <v>20-30 sec/side</v>
      </c>
      <c r="H165" s="7"/>
      <c r="I165" s="7"/>
      <c r="J165" s="7"/>
    </row>
    <row r="166" customFormat="false" ht="15" hidden="false" customHeight="false" outlineLevel="0" collapsed="false">
      <c r="A166" s="10" t="n">
        <v>9</v>
      </c>
      <c r="B166" s="14" t="n">
        <f aca="false">Settings!$B$4+(A166-1)*7+4</f>
        <v>46269</v>
      </c>
      <c r="C166" s="9" t="str">
        <f aca="false">TEXT(B166,"dddd")</f>
        <v>Friday</v>
      </c>
      <c r="D166" s="9" t="s">
        <v>43</v>
      </c>
      <c r="E166" s="9" t="s">
        <v>51</v>
      </c>
      <c r="F166" s="16" t="n">
        <f aca="false">INDEX('Plan Reference'!$C$5:$C$22,MATCH(E166,'Plan Reference'!$B$5:$B$22,0))</f>
        <v>3</v>
      </c>
      <c r="G166" s="16" t="str">
        <f aca="false">INDEX('Plan Reference'!$D$5:$D$22,MATCH(E166,'Plan Reference'!$B$5:$B$22,0))</f>
        <v>30 sec</v>
      </c>
      <c r="H166" s="10"/>
      <c r="I166" s="10"/>
      <c r="J166" s="10"/>
      <c r="K166" s="17"/>
    </row>
    <row r="167" customFormat="false" ht="15" hidden="false" customHeight="false" outlineLevel="0" collapsed="false">
      <c r="A167" s="7" t="n">
        <v>10</v>
      </c>
      <c r="B167" s="11" t="n">
        <f aca="false">Settings!$B$4+(A167-1)*7+0</f>
        <v>46272</v>
      </c>
      <c r="C167" s="5" t="str">
        <f aca="false">TEXT(B167,"dddd")</f>
        <v>Monday</v>
      </c>
      <c r="D167" s="5" t="s">
        <v>24</v>
      </c>
      <c r="E167" s="5" t="s">
        <v>25</v>
      </c>
      <c r="F167" s="13" t="n">
        <f aca="false">INDEX('Plan Reference'!$C$5:$C$22,MATCH(E167,'Plan Reference'!$B$5:$B$22,0))</f>
        <v>3</v>
      </c>
      <c r="G167" s="13" t="str">
        <f aca="false">INDEX('Plan Reference'!$D$5:$D$22,MATCH(E167,'Plan Reference'!$B$5:$B$22,0))</f>
        <v>12</v>
      </c>
      <c r="H167" s="7"/>
      <c r="I167" s="7"/>
      <c r="J167" s="7"/>
    </row>
    <row r="168" customFormat="false" ht="15" hidden="false" customHeight="false" outlineLevel="0" collapsed="false">
      <c r="A168" s="10" t="n">
        <v>10</v>
      </c>
      <c r="B168" s="14" t="n">
        <f aca="false">Settings!$B$4+(A168-1)*7+0</f>
        <v>46272</v>
      </c>
      <c r="C168" s="9" t="str">
        <f aca="false">TEXT(B168,"dddd")</f>
        <v>Monday</v>
      </c>
      <c r="D168" s="9" t="s">
        <v>24</v>
      </c>
      <c r="E168" s="9" t="s">
        <v>27</v>
      </c>
      <c r="F168" s="16" t="n">
        <f aca="false">INDEX('Plan Reference'!$C$5:$C$22,MATCH(E168,'Plan Reference'!$B$5:$B$22,0))</f>
        <v>3</v>
      </c>
      <c r="G168" s="16" t="str">
        <f aca="false">INDEX('Plan Reference'!$D$5:$D$22,MATCH(E168,'Plan Reference'!$B$5:$B$22,0))</f>
        <v>12</v>
      </c>
      <c r="H168" s="10"/>
      <c r="I168" s="10"/>
      <c r="J168" s="10"/>
      <c r="K168" s="17"/>
    </row>
    <row r="169" customFormat="false" ht="15" hidden="false" customHeight="false" outlineLevel="0" collapsed="false">
      <c r="A169" s="7" t="n">
        <v>10</v>
      </c>
      <c r="B169" s="11" t="n">
        <f aca="false">Settings!$B$4+(A169-1)*7+0</f>
        <v>46272</v>
      </c>
      <c r="C169" s="5" t="str">
        <f aca="false">TEXT(B169,"dddd")</f>
        <v>Monday</v>
      </c>
      <c r="D169" s="5" t="s">
        <v>24</v>
      </c>
      <c r="E169" s="5" t="s">
        <v>28</v>
      </c>
      <c r="F169" s="13" t="n">
        <f aca="false">INDEX('Plan Reference'!$C$5:$C$22,MATCH(E169,'Plan Reference'!$B$5:$B$22,0))</f>
        <v>3</v>
      </c>
      <c r="G169" s="13" t="str">
        <f aca="false">INDEX('Plan Reference'!$D$5:$D$22,MATCH(E169,'Plan Reference'!$B$5:$B$22,0))</f>
        <v>10/leg</v>
      </c>
      <c r="H169" s="7"/>
      <c r="I169" s="7"/>
      <c r="J169" s="7"/>
    </row>
    <row r="170" customFormat="false" ht="15" hidden="false" customHeight="false" outlineLevel="0" collapsed="false">
      <c r="A170" s="10" t="n">
        <v>10</v>
      </c>
      <c r="B170" s="14" t="n">
        <f aca="false">Settings!$B$4+(A170-1)*7+0</f>
        <v>46272</v>
      </c>
      <c r="C170" s="9" t="str">
        <f aca="false">TEXT(B170,"dddd")</f>
        <v>Monday</v>
      </c>
      <c r="D170" s="9" t="s">
        <v>24</v>
      </c>
      <c r="E170" s="9" t="s">
        <v>30</v>
      </c>
      <c r="F170" s="16" t="n">
        <f aca="false">INDEX('Plan Reference'!$C$5:$C$22,MATCH(E170,'Plan Reference'!$B$5:$B$22,0))</f>
        <v>3</v>
      </c>
      <c r="G170" s="16" t="str">
        <f aca="false">INDEX('Plan Reference'!$D$5:$D$22,MATCH(E170,'Plan Reference'!$B$5:$B$22,0))</f>
        <v>15</v>
      </c>
      <c r="H170" s="10"/>
      <c r="I170" s="10"/>
      <c r="J170" s="10"/>
      <c r="K170" s="17"/>
    </row>
    <row r="171" customFormat="false" ht="15" hidden="false" customHeight="false" outlineLevel="0" collapsed="false">
      <c r="A171" s="7" t="n">
        <v>10</v>
      </c>
      <c r="B171" s="11" t="n">
        <f aca="false">Settings!$B$4+(A171-1)*7+0</f>
        <v>46272</v>
      </c>
      <c r="C171" s="5" t="str">
        <f aca="false">TEXT(B171,"dddd")</f>
        <v>Monday</v>
      </c>
      <c r="D171" s="5" t="s">
        <v>24</v>
      </c>
      <c r="E171" s="5" t="s">
        <v>32</v>
      </c>
      <c r="F171" s="13" t="n">
        <f aca="false">INDEX('Plan Reference'!$C$5:$C$22,MATCH(E171,'Plan Reference'!$B$5:$B$22,0))</f>
        <v>3</v>
      </c>
      <c r="G171" s="13" t="str">
        <f aca="false">INDEX('Plan Reference'!$D$5:$D$22,MATCH(E171,'Plan Reference'!$B$5:$B$22,0))</f>
        <v>30-45 sec</v>
      </c>
      <c r="H171" s="7"/>
      <c r="I171" s="7"/>
      <c r="J171" s="7"/>
    </row>
    <row r="172" customFormat="false" ht="15" hidden="false" customHeight="false" outlineLevel="0" collapsed="false">
      <c r="A172" s="10" t="n">
        <v>10</v>
      </c>
      <c r="B172" s="14" t="n">
        <f aca="false">Settings!$B$4+(A172-1)*7+0</f>
        <v>46272</v>
      </c>
      <c r="C172" s="9" t="str">
        <f aca="false">TEXT(B172,"dddd")</f>
        <v>Monday</v>
      </c>
      <c r="D172" s="9" t="s">
        <v>24</v>
      </c>
      <c r="E172" s="9" t="s">
        <v>34</v>
      </c>
      <c r="F172" s="16" t="n">
        <f aca="false">INDEX('Plan Reference'!$C$5:$C$22,MATCH(E172,'Plan Reference'!$B$5:$B$22,0))</f>
        <v>3</v>
      </c>
      <c r="G172" s="16" t="str">
        <f aca="false">INDEX('Plan Reference'!$D$5:$D$22,MATCH(E172,'Plan Reference'!$B$5:$B$22,0))</f>
        <v>15</v>
      </c>
      <c r="H172" s="10"/>
      <c r="I172" s="10"/>
      <c r="J172" s="10"/>
      <c r="K172" s="17"/>
    </row>
    <row r="173" customFormat="false" ht="15" hidden="false" customHeight="false" outlineLevel="0" collapsed="false">
      <c r="A173" s="7" t="n">
        <v>10</v>
      </c>
      <c r="B173" s="11" t="n">
        <f aca="false">Settings!$B$4+(A173-1)*7+2</f>
        <v>46274</v>
      </c>
      <c r="C173" s="5" t="str">
        <f aca="false">TEXT(B173,"dddd")</f>
        <v>Wednesday</v>
      </c>
      <c r="D173" s="5" t="s">
        <v>35</v>
      </c>
      <c r="E173" s="5" t="s">
        <v>36</v>
      </c>
      <c r="F173" s="13" t="n">
        <f aca="false">INDEX('Plan Reference'!$C$5:$C$22,MATCH(E173,'Plan Reference'!$B$5:$B$22,0))</f>
        <v>3</v>
      </c>
      <c r="G173" s="13" t="str">
        <f aca="false">INDEX('Plan Reference'!$D$5:$D$22,MATCH(E173,'Plan Reference'!$B$5:$B$22,0))</f>
        <v>12</v>
      </c>
      <c r="H173" s="7"/>
      <c r="I173" s="7"/>
      <c r="J173" s="7"/>
    </row>
    <row r="174" customFormat="false" ht="15" hidden="false" customHeight="false" outlineLevel="0" collapsed="false">
      <c r="A174" s="10" t="n">
        <v>10</v>
      </c>
      <c r="B174" s="14" t="n">
        <f aca="false">Settings!$B$4+(A174-1)*7+2</f>
        <v>46274</v>
      </c>
      <c r="C174" s="9" t="str">
        <f aca="false">TEXT(B174,"dddd")</f>
        <v>Wednesday</v>
      </c>
      <c r="D174" s="9" t="s">
        <v>35</v>
      </c>
      <c r="E174" s="9" t="s">
        <v>37</v>
      </c>
      <c r="F174" s="16" t="n">
        <f aca="false">INDEX('Plan Reference'!$C$5:$C$22,MATCH(E174,'Plan Reference'!$B$5:$B$22,0))</f>
        <v>3</v>
      </c>
      <c r="G174" s="16" t="str">
        <f aca="false">INDEX('Plan Reference'!$D$5:$D$22,MATCH(E174,'Plan Reference'!$B$5:$B$22,0))</f>
        <v>12</v>
      </c>
      <c r="H174" s="10"/>
      <c r="I174" s="10"/>
      <c r="J174" s="10"/>
      <c r="K174" s="17"/>
    </row>
    <row r="175" customFormat="false" ht="15" hidden="false" customHeight="false" outlineLevel="0" collapsed="false">
      <c r="A175" s="7" t="n">
        <v>10</v>
      </c>
      <c r="B175" s="11" t="n">
        <f aca="false">Settings!$B$4+(A175-1)*7+2</f>
        <v>46274</v>
      </c>
      <c r="C175" s="5" t="str">
        <f aca="false">TEXT(B175,"dddd")</f>
        <v>Wednesday</v>
      </c>
      <c r="D175" s="5" t="s">
        <v>35</v>
      </c>
      <c r="E175" s="5" t="s">
        <v>38</v>
      </c>
      <c r="F175" s="13" t="n">
        <f aca="false">INDEX('Plan Reference'!$C$5:$C$22,MATCH(E175,'Plan Reference'!$B$5:$B$22,0))</f>
        <v>3</v>
      </c>
      <c r="G175" s="13" t="str">
        <f aca="false">INDEX('Plan Reference'!$D$5:$D$22,MATCH(E175,'Plan Reference'!$B$5:$B$22,0))</f>
        <v>12</v>
      </c>
      <c r="H175" s="7"/>
      <c r="I175" s="7"/>
      <c r="J175" s="7"/>
    </row>
    <row r="176" customFormat="false" ht="15" hidden="false" customHeight="false" outlineLevel="0" collapsed="false">
      <c r="A176" s="10" t="n">
        <v>10</v>
      </c>
      <c r="B176" s="14" t="n">
        <f aca="false">Settings!$B$4+(A176-1)*7+2</f>
        <v>46274</v>
      </c>
      <c r="C176" s="9" t="str">
        <f aca="false">TEXT(B176,"dddd")</f>
        <v>Wednesday</v>
      </c>
      <c r="D176" s="9" t="s">
        <v>35</v>
      </c>
      <c r="E176" s="9" t="s">
        <v>39</v>
      </c>
      <c r="F176" s="16" t="n">
        <f aca="false">INDEX('Plan Reference'!$C$5:$C$22,MATCH(E176,'Plan Reference'!$B$5:$B$22,0))</f>
        <v>3</v>
      </c>
      <c r="G176" s="16" t="str">
        <f aca="false">INDEX('Plan Reference'!$D$5:$D$22,MATCH(E176,'Plan Reference'!$B$5:$B$22,0))</f>
        <v>15</v>
      </c>
      <c r="H176" s="10"/>
      <c r="I176" s="10"/>
      <c r="J176" s="10"/>
      <c r="K176" s="17"/>
    </row>
    <row r="177" customFormat="false" ht="15" hidden="false" customHeight="false" outlineLevel="0" collapsed="false">
      <c r="A177" s="7" t="n">
        <v>10</v>
      </c>
      <c r="B177" s="11" t="n">
        <f aca="false">Settings!$B$4+(A177-1)*7+2</f>
        <v>46274</v>
      </c>
      <c r="C177" s="5" t="str">
        <f aca="false">TEXT(B177,"dddd")</f>
        <v>Wednesday</v>
      </c>
      <c r="D177" s="5" t="s">
        <v>35</v>
      </c>
      <c r="E177" s="5" t="s">
        <v>40</v>
      </c>
      <c r="F177" s="13" t="n">
        <f aca="false">INDEX('Plan Reference'!$C$5:$C$22,MATCH(E177,'Plan Reference'!$B$5:$B$22,0))</f>
        <v>3</v>
      </c>
      <c r="G177" s="13" t="str">
        <f aca="false">INDEX('Plan Reference'!$D$5:$D$22,MATCH(E177,'Plan Reference'!$B$5:$B$22,0))</f>
        <v>12</v>
      </c>
      <c r="H177" s="7"/>
      <c r="I177" s="7"/>
      <c r="J177" s="7"/>
    </row>
    <row r="178" customFormat="false" ht="15" hidden="false" customHeight="false" outlineLevel="0" collapsed="false">
      <c r="A178" s="10" t="n">
        <v>10</v>
      </c>
      <c r="B178" s="14" t="n">
        <f aca="false">Settings!$B$4+(A178-1)*7+2</f>
        <v>46274</v>
      </c>
      <c r="C178" s="9" t="str">
        <f aca="false">TEXT(B178,"dddd")</f>
        <v>Wednesday</v>
      </c>
      <c r="D178" s="9" t="s">
        <v>35</v>
      </c>
      <c r="E178" s="9" t="s">
        <v>41</v>
      </c>
      <c r="F178" s="16" t="n">
        <f aca="false">INDEX('Plan Reference'!$C$5:$C$22,MATCH(E178,'Plan Reference'!$B$5:$B$22,0))</f>
        <v>3</v>
      </c>
      <c r="G178" s="16" t="str">
        <f aca="false">INDEX('Plan Reference'!$D$5:$D$22,MATCH(E178,'Plan Reference'!$B$5:$B$22,0))</f>
        <v>12/side</v>
      </c>
      <c r="H178" s="10"/>
      <c r="I178" s="10"/>
      <c r="J178" s="10"/>
      <c r="K178" s="17"/>
    </row>
    <row r="179" customFormat="false" ht="15" hidden="false" customHeight="false" outlineLevel="0" collapsed="false">
      <c r="A179" s="7" t="n">
        <v>10</v>
      </c>
      <c r="B179" s="11" t="n">
        <f aca="false">Settings!$B$4+(A179-1)*7+4</f>
        <v>46276</v>
      </c>
      <c r="C179" s="5" t="str">
        <f aca="false">TEXT(B179,"dddd")</f>
        <v>Friday</v>
      </c>
      <c r="D179" s="5" t="s">
        <v>43</v>
      </c>
      <c r="E179" s="5" t="s">
        <v>44</v>
      </c>
      <c r="F179" s="13" t="n">
        <f aca="false">INDEX('Plan Reference'!$C$5:$C$22,MATCH(E179,'Plan Reference'!$B$5:$B$22,0))</f>
        <v>3</v>
      </c>
      <c r="G179" s="13" t="str">
        <f aca="false">INDEX('Plan Reference'!$D$5:$D$22,MATCH(E179,'Plan Reference'!$B$5:$B$22,0))</f>
        <v>12</v>
      </c>
      <c r="H179" s="7"/>
      <c r="I179" s="7"/>
      <c r="J179" s="7"/>
    </row>
    <row r="180" customFormat="false" ht="15" hidden="false" customHeight="false" outlineLevel="0" collapsed="false">
      <c r="A180" s="10" t="n">
        <v>10</v>
      </c>
      <c r="B180" s="14" t="n">
        <f aca="false">Settings!$B$4+(A180-1)*7+4</f>
        <v>46276</v>
      </c>
      <c r="C180" s="9" t="str">
        <f aca="false">TEXT(B180,"dddd")</f>
        <v>Friday</v>
      </c>
      <c r="D180" s="9" t="s">
        <v>43</v>
      </c>
      <c r="E180" s="9" t="s">
        <v>45</v>
      </c>
      <c r="F180" s="16" t="n">
        <f aca="false">INDEX('Plan Reference'!$C$5:$C$22,MATCH(E180,'Plan Reference'!$B$5:$B$22,0))</f>
        <v>3</v>
      </c>
      <c r="G180" s="16" t="str">
        <f aca="false">INDEX('Plan Reference'!$D$5:$D$22,MATCH(E180,'Plan Reference'!$B$5:$B$22,0))</f>
        <v>10/side</v>
      </c>
      <c r="H180" s="10"/>
      <c r="I180" s="10"/>
      <c r="J180" s="10"/>
      <c r="K180" s="17"/>
    </row>
    <row r="181" customFormat="false" ht="15" hidden="false" customHeight="false" outlineLevel="0" collapsed="false">
      <c r="A181" s="7" t="n">
        <v>10</v>
      </c>
      <c r="B181" s="11" t="n">
        <f aca="false">Settings!$B$4+(A181-1)*7+4</f>
        <v>46276</v>
      </c>
      <c r="C181" s="5" t="str">
        <f aca="false">TEXT(B181,"dddd")</f>
        <v>Friday</v>
      </c>
      <c r="D181" s="5" t="s">
        <v>43</v>
      </c>
      <c r="E181" s="5" t="s">
        <v>47</v>
      </c>
      <c r="F181" s="13" t="n">
        <f aca="false">INDEX('Plan Reference'!$C$5:$C$22,MATCH(E181,'Plan Reference'!$B$5:$B$22,0))</f>
        <v>3</v>
      </c>
      <c r="G181" s="13" t="str">
        <f aca="false">INDEX('Plan Reference'!$D$5:$D$22,MATCH(E181,'Plan Reference'!$B$5:$B$22,0))</f>
        <v>10/leg</v>
      </c>
      <c r="H181" s="7"/>
      <c r="I181" s="7"/>
      <c r="J181" s="7"/>
    </row>
    <row r="182" customFormat="false" ht="15" hidden="false" customHeight="false" outlineLevel="0" collapsed="false">
      <c r="A182" s="10" t="n">
        <v>10</v>
      </c>
      <c r="B182" s="14" t="n">
        <f aca="false">Settings!$B$4+(A182-1)*7+4</f>
        <v>46276</v>
      </c>
      <c r="C182" s="9" t="str">
        <f aca="false">TEXT(B182,"dddd")</f>
        <v>Friday</v>
      </c>
      <c r="D182" s="9" t="s">
        <v>43</v>
      </c>
      <c r="E182" s="9" t="s">
        <v>48</v>
      </c>
      <c r="F182" s="16" t="n">
        <f aca="false">INDEX('Plan Reference'!$C$5:$C$22,MATCH(E182,'Plan Reference'!$B$5:$B$22,0))</f>
        <v>3</v>
      </c>
      <c r="G182" s="16" t="str">
        <f aca="false">INDEX('Plan Reference'!$D$5:$D$22,MATCH(E182,'Plan Reference'!$B$5:$B$22,0))</f>
        <v>12/side</v>
      </c>
      <c r="H182" s="10"/>
      <c r="I182" s="10"/>
      <c r="J182" s="10"/>
      <c r="K182" s="17"/>
    </row>
    <row r="183" customFormat="false" ht="15" hidden="false" customHeight="false" outlineLevel="0" collapsed="false">
      <c r="A183" s="7" t="n">
        <v>10</v>
      </c>
      <c r="B183" s="11" t="n">
        <f aca="false">Settings!$B$4+(A183-1)*7+4</f>
        <v>46276</v>
      </c>
      <c r="C183" s="5" t="str">
        <f aca="false">TEXT(B183,"dddd")</f>
        <v>Friday</v>
      </c>
      <c r="D183" s="5" t="s">
        <v>43</v>
      </c>
      <c r="E183" s="5" t="s">
        <v>49</v>
      </c>
      <c r="F183" s="13" t="n">
        <f aca="false">INDEX('Plan Reference'!$C$5:$C$22,MATCH(E183,'Plan Reference'!$B$5:$B$22,0))</f>
        <v>3</v>
      </c>
      <c r="G183" s="13" t="str">
        <f aca="false">INDEX('Plan Reference'!$D$5:$D$22,MATCH(E183,'Plan Reference'!$B$5:$B$22,0))</f>
        <v>20-30 sec/side</v>
      </c>
      <c r="H183" s="7"/>
      <c r="I183" s="7"/>
      <c r="J183" s="7"/>
    </row>
    <row r="184" customFormat="false" ht="15" hidden="false" customHeight="false" outlineLevel="0" collapsed="false">
      <c r="A184" s="10" t="n">
        <v>10</v>
      </c>
      <c r="B184" s="14" t="n">
        <f aca="false">Settings!$B$4+(A184-1)*7+4</f>
        <v>46276</v>
      </c>
      <c r="C184" s="9" t="str">
        <f aca="false">TEXT(B184,"dddd")</f>
        <v>Friday</v>
      </c>
      <c r="D184" s="9" t="s">
        <v>43</v>
      </c>
      <c r="E184" s="9" t="s">
        <v>51</v>
      </c>
      <c r="F184" s="16" t="n">
        <f aca="false">INDEX('Plan Reference'!$C$5:$C$22,MATCH(E184,'Plan Reference'!$B$5:$B$22,0))</f>
        <v>3</v>
      </c>
      <c r="G184" s="16" t="str">
        <f aca="false">INDEX('Plan Reference'!$D$5:$D$22,MATCH(E184,'Plan Reference'!$B$5:$B$22,0))</f>
        <v>30 sec</v>
      </c>
      <c r="H184" s="10"/>
      <c r="I184" s="10"/>
      <c r="J184" s="10"/>
      <c r="K184" s="17"/>
    </row>
    <row r="185" customFormat="false" ht="15" hidden="false" customHeight="false" outlineLevel="0" collapsed="false">
      <c r="A185" s="7" t="n">
        <v>11</v>
      </c>
      <c r="B185" s="11" t="n">
        <f aca="false">Settings!$B$4+(A185-1)*7+0</f>
        <v>46279</v>
      </c>
      <c r="C185" s="5" t="str">
        <f aca="false">TEXT(B185,"dddd")</f>
        <v>Monday</v>
      </c>
      <c r="D185" s="5" t="s">
        <v>24</v>
      </c>
      <c r="E185" s="5" t="s">
        <v>25</v>
      </c>
      <c r="F185" s="13" t="n">
        <f aca="false">INDEX('Plan Reference'!$C$5:$C$22,MATCH(E185,'Plan Reference'!$B$5:$B$22,0))</f>
        <v>3</v>
      </c>
      <c r="G185" s="13" t="str">
        <f aca="false">INDEX('Plan Reference'!$D$5:$D$22,MATCH(E185,'Plan Reference'!$B$5:$B$22,0))</f>
        <v>12</v>
      </c>
      <c r="H185" s="7"/>
      <c r="I185" s="7"/>
      <c r="J185" s="7"/>
    </row>
    <row r="186" customFormat="false" ht="15" hidden="false" customHeight="false" outlineLevel="0" collapsed="false">
      <c r="A186" s="10" t="n">
        <v>11</v>
      </c>
      <c r="B186" s="14" t="n">
        <f aca="false">Settings!$B$4+(A186-1)*7+0</f>
        <v>46279</v>
      </c>
      <c r="C186" s="9" t="str">
        <f aca="false">TEXT(B186,"dddd")</f>
        <v>Monday</v>
      </c>
      <c r="D186" s="9" t="s">
        <v>24</v>
      </c>
      <c r="E186" s="9" t="s">
        <v>27</v>
      </c>
      <c r="F186" s="16" t="n">
        <f aca="false">INDEX('Plan Reference'!$C$5:$C$22,MATCH(E186,'Plan Reference'!$B$5:$B$22,0))</f>
        <v>3</v>
      </c>
      <c r="G186" s="16" t="str">
        <f aca="false">INDEX('Plan Reference'!$D$5:$D$22,MATCH(E186,'Plan Reference'!$B$5:$B$22,0))</f>
        <v>12</v>
      </c>
      <c r="H186" s="10"/>
      <c r="I186" s="10"/>
      <c r="J186" s="10"/>
      <c r="K186" s="17"/>
    </row>
    <row r="187" customFormat="false" ht="15" hidden="false" customHeight="false" outlineLevel="0" collapsed="false">
      <c r="A187" s="7" t="n">
        <v>11</v>
      </c>
      <c r="B187" s="11" t="n">
        <f aca="false">Settings!$B$4+(A187-1)*7+0</f>
        <v>46279</v>
      </c>
      <c r="C187" s="5" t="str">
        <f aca="false">TEXT(B187,"dddd")</f>
        <v>Monday</v>
      </c>
      <c r="D187" s="5" t="s">
        <v>24</v>
      </c>
      <c r="E187" s="5" t="s">
        <v>28</v>
      </c>
      <c r="F187" s="13" t="n">
        <f aca="false">INDEX('Plan Reference'!$C$5:$C$22,MATCH(E187,'Plan Reference'!$B$5:$B$22,0))</f>
        <v>3</v>
      </c>
      <c r="G187" s="13" t="str">
        <f aca="false">INDEX('Plan Reference'!$D$5:$D$22,MATCH(E187,'Plan Reference'!$B$5:$B$22,0))</f>
        <v>10/leg</v>
      </c>
      <c r="H187" s="7"/>
      <c r="I187" s="7"/>
      <c r="J187" s="7"/>
    </row>
    <row r="188" customFormat="false" ht="15" hidden="false" customHeight="false" outlineLevel="0" collapsed="false">
      <c r="A188" s="10" t="n">
        <v>11</v>
      </c>
      <c r="B188" s="14" t="n">
        <f aca="false">Settings!$B$4+(A188-1)*7+0</f>
        <v>46279</v>
      </c>
      <c r="C188" s="9" t="str">
        <f aca="false">TEXT(B188,"dddd")</f>
        <v>Monday</v>
      </c>
      <c r="D188" s="9" t="s">
        <v>24</v>
      </c>
      <c r="E188" s="9" t="s">
        <v>30</v>
      </c>
      <c r="F188" s="16" t="n">
        <f aca="false">INDEX('Plan Reference'!$C$5:$C$22,MATCH(E188,'Plan Reference'!$B$5:$B$22,0))</f>
        <v>3</v>
      </c>
      <c r="G188" s="16" t="str">
        <f aca="false">INDEX('Plan Reference'!$D$5:$D$22,MATCH(E188,'Plan Reference'!$B$5:$B$22,0))</f>
        <v>15</v>
      </c>
      <c r="H188" s="10"/>
      <c r="I188" s="10"/>
      <c r="J188" s="10"/>
      <c r="K188" s="17"/>
    </row>
    <row r="189" customFormat="false" ht="15" hidden="false" customHeight="false" outlineLevel="0" collapsed="false">
      <c r="A189" s="7" t="n">
        <v>11</v>
      </c>
      <c r="B189" s="11" t="n">
        <f aca="false">Settings!$B$4+(A189-1)*7+0</f>
        <v>46279</v>
      </c>
      <c r="C189" s="5" t="str">
        <f aca="false">TEXT(B189,"dddd")</f>
        <v>Monday</v>
      </c>
      <c r="D189" s="5" t="s">
        <v>24</v>
      </c>
      <c r="E189" s="5" t="s">
        <v>32</v>
      </c>
      <c r="F189" s="13" t="n">
        <f aca="false">INDEX('Plan Reference'!$C$5:$C$22,MATCH(E189,'Plan Reference'!$B$5:$B$22,0))</f>
        <v>3</v>
      </c>
      <c r="G189" s="13" t="str">
        <f aca="false">INDEX('Plan Reference'!$D$5:$D$22,MATCH(E189,'Plan Reference'!$B$5:$B$22,0))</f>
        <v>30-45 sec</v>
      </c>
      <c r="H189" s="7"/>
      <c r="I189" s="7"/>
      <c r="J189" s="7"/>
    </row>
    <row r="190" customFormat="false" ht="15" hidden="false" customHeight="false" outlineLevel="0" collapsed="false">
      <c r="A190" s="10" t="n">
        <v>11</v>
      </c>
      <c r="B190" s="14" t="n">
        <f aca="false">Settings!$B$4+(A190-1)*7+0</f>
        <v>46279</v>
      </c>
      <c r="C190" s="9" t="str">
        <f aca="false">TEXT(B190,"dddd")</f>
        <v>Monday</v>
      </c>
      <c r="D190" s="9" t="s">
        <v>24</v>
      </c>
      <c r="E190" s="9" t="s">
        <v>34</v>
      </c>
      <c r="F190" s="16" t="n">
        <f aca="false">INDEX('Plan Reference'!$C$5:$C$22,MATCH(E190,'Plan Reference'!$B$5:$B$22,0))</f>
        <v>3</v>
      </c>
      <c r="G190" s="16" t="str">
        <f aca="false">INDEX('Plan Reference'!$D$5:$D$22,MATCH(E190,'Plan Reference'!$B$5:$B$22,0))</f>
        <v>15</v>
      </c>
      <c r="H190" s="10"/>
      <c r="I190" s="10"/>
      <c r="J190" s="10"/>
      <c r="K190" s="17"/>
    </row>
    <row r="191" customFormat="false" ht="15" hidden="false" customHeight="false" outlineLevel="0" collapsed="false">
      <c r="A191" s="7" t="n">
        <v>11</v>
      </c>
      <c r="B191" s="11" t="n">
        <f aca="false">Settings!$B$4+(A191-1)*7+2</f>
        <v>46281</v>
      </c>
      <c r="C191" s="5" t="str">
        <f aca="false">TEXT(B191,"dddd")</f>
        <v>Wednesday</v>
      </c>
      <c r="D191" s="5" t="s">
        <v>35</v>
      </c>
      <c r="E191" s="5" t="s">
        <v>36</v>
      </c>
      <c r="F191" s="13" t="n">
        <f aca="false">INDEX('Plan Reference'!$C$5:$C$22,MATCH(E191,'Plan Reference'!$B$5:$B$22,0))</f>
        <v>3</v>
      </c>
      <c r="G191" s="13" t="str">
        <f aca="false">INDEX('Plan Reference'!$D$5:$D$22,MATCH(E191,'Plan Reference'!$B$5:$B$22,0))</f>
        <v>12</v>
      </c>
      <c r="H191" s="7"/>
      <c r="I191" s="7"/>
      <c r="J191" s="7"/>
    </row>
    <row r="192" customFormat="false" ht="15" hidden="false" customHeight="false" outlineLevel="0" collapsed="false">
      <c r="A192" s="10" t="n">
        <v>11</v>
      </c>
      <c r="B192" s="14" t="n">
        <f aca="false">Settings!$B$4+(A192-1)*7+2</f>
        <v>46281</v>
      </c>
      <c r="C192" s="9" t="str">
        <f aca="false">TEXT(B192,"dddd")</f>
        <v>Wednesday</v>
      </c>
      <c r="D192" s="9" t="s">
        <v>35</v>
      </c>
      <c r="E192" s="9" t="s">
        <v>37</v>
      </c>
      <c r="F192" s="16" t="n">
        <f aca="false">INDEX('Plan Reference'!$C$5:$C$22,MATCH(E192,'Plan Reference'!$B$5:$B$22,0))</f>
        <v>3</v>
      </c>
      <c r="G192" s="16" t="str">
        <f aca="false">INDEX('Plan Reference'!$D$5:$D$22,MATCH(E192,'Plan Reference'!$B$5:$B$22,0))</f>
        <v>12</v>
      </c>
      <c r="H192" s="10"/>
      <c r="I192" s="10"/>
      <c r="J192" s="10"/>
      <c r="K192" s="17"/>
    </row>
    <row r="193" customFormat="false" ht="15" hidden="false" customHeight="false" outlineLevel="0" collapsed="false">
      <c r="A193" s="7" t="n">
        <v>11</v>
      </c>
      <c r="B193" s="11" t="n">
        <f aca="false">Settings!$B$4+(A193-1)*7+2</f>
        <v>46281</v>
      </c>
      <c r="C193" s="5" t="str">
        <f aca="false">TEXT(B193,"dddd")</f>
        <v>Wednesday</v>
      </c>
      <c r="D193" s="5" t="s">
        <v>35</v>
      </c>
      <c r="E193" s="5" t="s">
        <v>38</v>
      </c>
      <c r="F193" s="13" t="n">
        <f aca="false">INDEX('Plan Reference'!$C$5:$C$22,MATCH(E193,'Plan Reference'!$B$5:$B$22,0))</f>
        <v>3</v>
      </c>
      <c r="G193" s="13" t="str">
        <f aca="false">INDEX('Plan Reference'!$D$5:$D$22,MATCH(E193,'Plan Reference'!$B$5:$B$22,0))</f>
        <v>12</v>
      </c>
      <c r="H193" s="7"/>
      <c r="I193" s="7"/>
      <c r="J193" s="7"/>
    </row>
    <row r="194" customFormat="false" ht="15" hidden="false" customHeight="false" outlineLevel="0" collapsed="false">
      <c r="A194" s="10" t="n">
        <v>11</v>
      </c>
      <c r="B194" s="14" t="n">
        <f aca="false">Settings!$B$4+(A194-1)*7+2</f>
        <v>46281</v>
      </c>
      <c r="C194" s="9" t="str">
        <f aca="false">TEXT(B194,"dddd")</f>
        <v>Wednesday</v>
      </c>
      <c r="D194" s="9" t="s">
        <v>35</v>
      </c>
      <c r="E194" s="9" t="s">
        <v>39</v>
      </c>
      <c r="F194" s="16" t="n">
        <f aca="false">INDEX('Plan Reference'!$C$5:$C$22,MATCH(E194,'Plan Reference'!$B$5:$B$22,0))</f>
        <v>3</v>
      </c>
      <c r="G194" s="16" t="str">
        <f aca="false">INDEX('Plan Reference'!$D$5:$D$22,MATCH(E194,'Plan Reference'!$B$5:$B$22,0))</f>
        <v>15</v>
      </c>
      <c r="H194" s="10"/>
      <c r="I194" s="10"/>
      <c r="J194" s="10"/>
      <c r="K194" s="17"/>
    </row>
    <row r="195" customFormat="false" ht="15" hidden="false" customHeight="false" outlineLevel="0" collapsed="false">
      <c r="A195" s="7" t="n">
        <v>11</v>
      </c>
      <c r="B195" s="11" t="n">
        <f aca="false">Settings!$B$4+(A195-1)*7+2</f>
        <v>46281</v>
      </c>
      <c r="C195" s="5" t="str">
        <f aca="false">TEXT(B195,"dddd")</f>
        <v>Wednesday</v>
      </c>
      <c r="D195" s="5" t="s">
        <v>35</v>
      </c>
      <c r="E195" s="5" t="s">
        <v>40</v>
      </c>
      <c r="F195" s="13" t="n">
        <f aca="false">INDEX('Plan Reference'!$C$5:$C$22,MATCH(E195,'Plan Reference'!$B$5:$B$22,0))</f>
        <v>3</v>
      </c>
      <c r="G195" s="13" t="str">
        <f aca="false">INDEX('Plan Reference'!$D$5:$D$22,MATCH(E195,'Plan Reference'!$B$5:$B$22,0))</f>
        <v>12</v>
      </c>
      <c r="H195" s="7"/>
      <c r="I195" s="7"/>
      <c r="J195" s="7"/>
    </row>
    <row r="196" customFormat="false" ht="15" hidden="false" customHeight="false" outlineLevel="0" collapsed="false">
      <c r="A196" s="10" t="n">
        <v>11</v>
      </c>
      <c r="B196" s="14" t="n">
        <f aca="false">Settings!$B$4+(A196-1)*7+2</f>
        <v>46281</v>
      </c>
      <c r="C196" s="9" t="str">
        <f aca="false">TEXT(B196,"dddd")</f>
        <v>Wednesday</v>
      </c>
      <c r="D196" s="9" t="s">
        <v>35</v>
      </c>
      <c r="E196" s="9" t="s">
        <v>41</v>
      </c>
      <c r="F196" s="16" t="n">
        <f aca="false">INDEX('Plan Reference'!$C$5:$C$22,MATCH(E196,'Plan Reference'!$B$5:$B$22,0))</f>
        <v>3</v>
      </c>
      <c r="G196" s="16" t="str">
        <f aca="false">INDEX('Plan Reference'!$D$5:$D$22,MATCH(E196,'Plan Reference'!$B$5:$B$22,0))</f>
        <v>12/side</v>
      </c>
      <c r="H196" s="10"/>
      <c r="I196" s="10"/>
      <c r="J196" s="10"/>
      <c r="K196" s="17"/>
    </row>
    <row r="197" customFormat="false" ht="15" hidden="false" customHeight="false" outlineLevel="0" collapsed="false">
      <c r="A197" s="7" t="n">
        <v>11</v>
      </c>
      <c r="B197" s="11" t="n">
        <f aca="false">Settings!$B$4+(A197-1)*7+4</f>
        <v>46283</v>
      </c>
      <c r="C197" s="5" t="str">
        <f aca="false">TEXT(B197,"dddd")</f>
        <v>Friday</v>
      </c>
      <c r="D197" s="5" t="s">
        <v>43</v>
      </c>
      <c r="E197" s="5" t="s">
        <v>44</v>
      </c>
      <c r="F197" s="13" t="n">
        <f aca="false">INDEX('Plan Reference'!$C$5:$C$22,MATCH(E197,'Plan Reference'!$B$5:$B$22,0))</f>
        <v>3</v>
      </c>
      <c r="G197" s="13" t="str">
        <f aca="false">INDEX('Plan Reference'!$D$5:$D$22,MATCH(E197,'Plan Reference'!$B$5:$B$22,0))</f>
        <v>12</v>
      </c>
      <c r="H197" s="7"/>
      <c r="I197" s="7"/>
      <c r="J197" s="7"/>
    </row>
    <row r="198" customFormat="false" ht="15" hidden="false" customHeight="false" outlineLevel="0" collapsed="false">
      <c r="A198" s="10" t="n">
        <v>11</v>
      </c>
      <c r="B198" s="14" t="n">
        <f aca="false">Settings!$B$4+(A198-1)*7+4</f>
        <v>46283</v>
      </c>
      <c r="C198" s="9" t="str">
        <f aca="false">TEXT(B198,"dddd")</f>
        <v>Friday</v>
      </c>
      <c r="D198" s="9" t="s">
        <v>43</v>
      </c>
      <c r="E198" s="9" t="s">
        <v>45</v>
      </c>
      <c r="F198" s="16" t="n">
        <f aca="false">INDEX('Plan Reference'!$C$5:$C$22,MATCH(E198,'Plan Reference'!$B$5:$B$22,0))</f>
        <v>3</v>
      </c>
      <c r="G198" s="16" t="str">
        <f aca="false">INDEX('Plan Reference'!$D$5:$D$22,MATCH(E198,'Plan Reference'!$B$5:$B$22,0))</f>
        <v>10/side</v>
      </c>
      <c r="H198" s="10"/>
      <c r="I198" s="10"/>
      <c r="J198" s="10"/>
      <c r="K198" s="17"/>
    </row>
    <row r="199" customFormat="false" ht="15" hidden="false" customHeight="false" outlineLevel="0" collapsed="false">
      <c r="A199" s="7" t="n">
        <v>11</v>
      </c>
      <c r="B199" s="11" t="n">
        <f aca="false">Settings!$B$4+(A199-1)*7+4</f>
        <v>46283</v>
      </c>
      <c r="C199" s="5" t="str">
        <f aca="false">TEXT(B199,"dddd")</f>
        <v>Friday</v>
      </c>
      <c r="D199" s="5" t="s">
        <v>43</v>
      </c>
      <c r="E199" s="5" t="s">
        <v>47</v>
      </c>
      <c r="F199" s="13" t="n">
        <f aca="false">INDEX('Plan Reference'!$C$5:$C$22,MATCH(E199,'Plan Reference'!$B$5:$B$22,0))</f>
        <v>3</v>
      </c>
      <c r="G199" s="13" t="str">
        <f aca="false">INDEX('Plan Reference'!$D$5:$D$22,MATCH(E199,'Plan Reference'!$B$5:$B$22,0))</f>
        <v>10/leg</v>
      </c>
      <c r="H199" s="7"/>
      <c r="I199" s="7"/>
      <c r="J199" s="7"/>
    </row>
    <row r="200" customFormat="false" ht="15" hidden="false" customHeight="false" outlineLevel="0" collapsed="false">
      <c r="A200" s="10" t="n">
        <v>11</v>
      </c>
      <c r="B200" s="14" t="n">
        <f aca="false">Settings!$B$4+(A200-1)*7+4</f>
        <v>46283</v>
      </c>
      <c r="C200" s="9" t="str">
        <f aca="false">TEXT(B200,"dddd")</f>
        <v>Friday</v>
      </c>
      <c r="D200" s="9" t="s">
        <v>43</v>
      </c>
      <c r="E200" s="9" t="s">
        <v>48</v>
      </c>
      <c r="F200" s="16" t="n">
        <f aca="false">INDEX('Plan Reference'!$C$5:$C$22,MATCH(E200,'Plan Reference'!$B$5:$B$22,0))</f>
        <v>3</v>
      </c>
      <c r="G200" s="16" t="str">
        <f aca="false">INDEX('Plan Reference'!$D$5:$D$22,MATCH(E200,'Plan Reference'!$B$5:$B$22,0))</f>
        <v>12/side</v>
      </c>
      <c r="H200" s="10"/>
      <c r="I200" s="10"/>
      <c r="J200" s="10"/>
      <c r="K200" s="17"/>
    </row>
    <row r="201" customFormat="false" ht="15" hidden="false" customHeight="false" outlineLevel="0" collapsed="false">
      <c r="A201" s="7" t="n">
        <v>11</v>
      </c>
      <c r="B201" s="11" t="n">
        <f aca="false">Settings!$B$4+(A201-1)*7+4</f>
        <v>46283</v>
      </c>
      <c r="C201" s="5" t="str">
        <f aca="false">TEXT(B201,"dddd")</f>
        <v>Friday</v>
      </c>
      <c r="D201" s="5" t="s">
        <v>43</v>
      </c>
      <c r="E201" s="5" t="s">
        <v>49</v>
      </c>
      <c r="F201" s="13" t="n">
        <f aca="false">INDEX('Plan Reference'!$C$5:$C$22,MATCH(E201,'Plan Reference'!$B$5:$B$22,0))</f>
        <v>3</v>
      </c>
      <c r="G201" s="13" t="str">
        <f aca="false">INDEX('Plan Reference'!$D$5:$D$22,MATCH(E201,'Plan Reference'!$B$5:$B$22,0))</f>
        <v>20-30 sec/side</v>
      </c>
      <c r="H201" s="7"/>
      <c r="I201" s="7"/>
      <c r="J201" s="7"/>
    </row>
    <row r="202" customFormat="false" ht="15" hidden="false" customHeight="false" outlineLevel="0" collapsed="false">
      <c r="A202" s="10" t="n">
        <v>11</v>
      </c>
      <c r="B202" s="14" t="n">
        <f aca="false">Settings!$B$4+(A202-1)*7+4</f>
        <v>46283</v>
      </c>
      <c r="C202" s="9" t="str">
        <f aca="false">TEXT(B202,"dddd")</f>
        <v>Friday</v>
      </c>
      <c r="D202" s="9" t="s">
        <v>43</v>
      </c>
      <c r="E202" s="9" t="s">
        <v>51</v>
      </c>
      <c r="F202" s="16" t="n">
        <f aca="false">INDEX('Plan Reference'!$C$5:$C$22,MATCH(E202,'Plan Reference'!$B$5:$B$22,0))</f>
        <v>3</v>
      </c>
      <c r="G202" s="16" t="str">
        <f aca="false">INDEX('Plan Reference'!$D$5:$D$22,MATCH(E202,'Plan Reference'!$B$5:$B$22,0))</f>
        <v>30 sec</v>
      </c>
      <c r="H202" s="10"/>
      <c r="I202" s="10"/>
      <c r="J202" s="10"/>
      <c r="K202" s="17"/>
    </row>
    <row r="203" customFormat="false" ht="15" hidden="false" customHeight="false" outlineLevel="0" collapsed="false">
      <c r="A203" s="7" t="n">
        <v>12</v>
      </c>
      <c r="B203" s="11" t="n">
        <f aca="false">Settings!$B$4+(A203-1)*7+0</f>
        <v>46286</v>
      </c>
      <c r="C203" s="5" t="str">
        <f aca="false">TEXT(B203,"dddd")</f>
        <v>Monday</v>
      </c>
      <c r="D203" s="5" t="s">
        <v>24</v>
      </c>
      <c r="E203" s="5" t="s">
        <v>25</v>
      </c>
      <c r="F203" s="13" t="n">
        <f aca="false">INDEX('Plan Reference'!$C$5:$C$22,MATCH(E203,'Plan Reference'!$B$5:$B$22,0))</f>
        <v>3</v>
      </c>
      <c r="G203" s="13" t="str">
        <f aca="false">INDEX('Plan Reference'!$D$5:$D$22,MATCH(E203,'Plan Reference'!$B$5:$B$22,0))</f>
        <v>12</v>
      </c>
      <c r="H203" s="7"/>
      <c r="I203" s="7"/>
      <c r="J203" s="7"/>
    </row>
    <row r="204" customFormat="false" ht="15" hidden="false" customHeight="false" outlineLevel="0" collapsed="false">
      <c r="A204" s="10" t="n">
        <v>12</v>
      </c>
      <c r="B204" s="14" t="n">
        <f aca="false">Settings!$B$4+(A204-1)*7+0</f>
        <v>46286</v>
      </c>
      <c r="C204" s="9" t="str">
        <f aca="false">TEXT(B204,"dddd")</f>
        <v>Monday</v>
      </c>
      <c r="D204" s="9" t="s">
        <v>24</v>
      </c>
      <c r="E204" s="9" t="s">
        <v>27</v>
      </c>
      <c r="F204" s="16" t="n">
        <f aca="false">INDEX('Plan Reference'!$C$5:$C$22,MATCH(E204,'Plan Reference'!$B$5:$B$22,0))</f>
        <v>3</v>
      </c>
      <c r="G204" s="16" t="str">
        <f aca="false">INDEX('Plan Reference'!$D$5:$D$22,MATCH(E204,'Plan Reference'!$B$5:$B$22,0))</f>
        <v>12</v>
      </c>
      <c r="H204" s="10"/>
      <c r="I204" s="10"/>
      <c r="J204" s="10"/>
      <c r="K204" s="17"/>
    </row>
    <row r="205" customFormat="false" ht="15" hidden="false" customHeight="false" outlineLevel="0" collapsed="false">
      <c r="A205" s="7" t="n">
        <v>12</v>
      </c>
      <c r="B205" s="11" t="n">
        <f aca="false">Settings!$B$4+(A205-1)*7+0</f>
        <v>46286</v>
      </c>
      <c r="C205" s="5" t="str">
        <f aca="false">TEXT(B205,"dddd")</f>
        <v>Monday</v>
      </c>
      <c r="D205" s="5" t="s">
        <v>24</v>
      </c>
      <c r="E205" s="5" t="s">
        <v>28</v>
      </c>
      <c r="F205" s="13" t="n">
        <f aca="false">INDEX('Plan Reference'!$C$5:$C$22,MATCH(E205,'Plan Reference'!$B$5:$B$22,0))</f>
        <v>3</v>
      </c>
      <c r="G205" s="13" t="str">
        <f aca="false">INDEX('Plan Reference'!$D$5:$D$22,MATCH(E205,'Plan Reference'!$B$5:$B$22,0))</f>
        <v>10/leg</v>
      </c>
      <c r="H205" s="7"/>
      <c r="I205" s="7"/>
      <c r="J205" s="7"/>
    </row>
    <row r="206" customFormat="false" ht="15" hidden="false" customHeight="false" outlineLevel="0" collapsed="false">
      <c r="A206" s="10" t="n">
        <v>12</v>
      </c>
      <c r="B206" s="14" t="n">
        <f aca="false">Settings!$B$4+(A206-1)*7+0</f>
        <v>46286</v>
      </c>
      <c r="C206" s="9" t="str">
        <f aca="false">TEXT(B206,"dddd")</f>
        <v>Monday</v>
      </c>
      <c r="D206" s="9" t="s">
        <v>24</v>
      </c>
      <c r="E206" s="9" t="s">
        <v>30</v>
      </c>
      <c r="F206" s="16" t="n">
        <f aca="false">INDEX('Plan Reference'!$C$5:$C$22,MATCH(E206,'Plan Reference'!$B$5:$B$22,0))</f>
        <v>3</v>
      </c>
      <c r="G206" s="16" t="str">
        <f aca="false">INDEX('Plan Reference'!$D$5:$D$22,MATCH(E206,'Plan Reference'!$B$5:$B$22,0))</f>
        <v>15</v>
      </c>
      <c r="H206" s="10"/>
      <c r="I206" s="10"/>
      <c r="J206" s="10"/>
      <c r="K206" s="17"/>
    </row>
    <row r="207" customFormat="false" ht="15" hidden="false" customHeight="false" outlineLevel="0" collapsed="false">
      <c r="A207" s="7" t="n">
        <v>12</v>
      </c>
      <c r="B207" s="11" t="n">
        <f aca="false">Settings!$B$4+(A207-1)*7+0</f>
        <v>46286</v>
      </c>
      <c r="C207" s="5" t="str">
        <f aca="false">TEXT(B207,"dddd")</f>
        <v>Monday</v>
      </c>
      <c r="D207" s="5" t="s">
        <v>24</v>
      </c>
      <c r="E207" s="5" t="s">
        <v>32</v>
      </c>
      <c r="F207" s="13" t="n">
        <f aca="false">INDEX('Plan Reference'!$C$5:$C$22,MATCH(E207,'Plan Reference'!$B$5:$B$22,0))</f>
        <v>3</v>
      </c>
      <c r="G207" s="13" t="str">
        <f aca="false">INDEX('Plan Reference'!$D$5:$D$22,MATCH(E207,'Plan Reference'!$B$5:$B$22,0))</f>
        <v>30-45 sec</v>
      </c>
      <c r="H207" s="7"/>
      <c r="I207" s="7"/>
      <c r="J207" s="7"/>
    </row>
    <row r="208" customFormat="false" ht="15" hidden="false" customHeight="false" outlineLevel="0" collapsed="false">
      <c r="A208" s="10" t="n">
        <v>12</v>
      </c>
      <c r="B208" s="14" t="n">
        <f aca="false">Settings!$B$4+(A208-1)*7+0</f>
        <v>46286</v>
      </c>
      <c r="C208" s="9" t="str">
        <f aca="false">TEXT(B208,"dddd")</f>
        <v>Monday</v>
      </c>
      <c r="D208" s="9" t="s">
        <v>24</v>
      </c>
      <c r="E208" s="9" t="s">
        <v>34</v>
      </c>
      <c r="F208" s="16" t="n">
        <f aca="false">INDEX('Plan Reference'!$C$5:$C$22,MATCH(E208,'Plan Reference'!$B$5:$B$22,0))</f>
        <v>3</v>
      </c>
      <c r="G208" s="16" t="str">
        <f aca="false">INDEX('Plan Reference'!$D$5:$D$22,MATCH(E208,'Plan Reference'!$B$5:$B$22,0))</f>
        <v>15</v>
      </c>
      <c r="H208" s="10"/>
      <c r="I208" s="10"/>
      <c r="J208" s="10"/>
      <c r="K208" s="17"/>
    </row>
    <row r="209" customFormat="false" ht="15" hidden="false" customHeight="false" outlineLevel="0" collapsed="false">
      <c r="A209" s="7" t="n">
        <v>12</v>
      </c>
      <c r="B209" s="11" t="n">
        <f aca="false">Settings!$B$4+(A209-1)*7+2</f>
        <v>46288</v>
      </c>
      <c r="C209" s="5" t="str">
        <f aca="false">TEXT(B209,"dddd")</f>
        <v>Wednesday</v>
      </c>
      <c r="D209" s="5" t="s">
        <v>35</v>
      </c>
      <c r="E209" s="5" t="s">
        <v>36</v>
      </c>
      <c r="F209" s="13" t="n">
        <f aca="false">INDEX('Plan Reference'!$C$5:$C$22,MATCH(E209,'Plan Reference'!$B$5:$B$22,0))</f>
        <v>3</v>
      </c>
      <c r="G209" s="13" t="str">
        <f aca="false">INDEX('Plan Reference'!$D$5:$D$22,MATCH(E209,'Plan Reference'!$B$5:$B$22,0))</f>
        <v>12</v>
      </c>
      <c r="H209" s="7"/>
      <c r="I209" s="7"/>
      <c r="J209" s="7"/>
    </row>
    <row r="210" customFormat="false" ht="15" hidden="false" customHeight="false" outlineLevel="0" collapsed="false">
      <c r="A210" s="10" t="n">
        <v>12</v>
      </c>
      <c r="B210" s="14" t="n">
        <f aca="false">Settings!$B$4+(A210-1)*7+2</f>
        <v>46288</v>
      </c>
      <c r="C210" s="9" t="str">
        <f aca="false">TEXT(B210,"dddd")</f>
        <v>Wednesday</v>
      </c>
      <c r="D210" s="9" t="s">
        <v>35</v>
      </c>
      <c r="E210" s="9" t="s">
        <v>37</v>
      </c>
      <c r="F210" s="16" t="n">
        <f aca="false">INDEX('Plan Reference'!$C$5:$C$22,MATCH(E210,'Plan Reference'!$B$5:$B$22,0))</f>
        <v>3</v>
      </c>
      <c r="G210" s="16" t="str">
        <f aca="false">INDEX('Plan Reference'!$D$5:$D$22,MATCH(E210,'Plan Reference'!$B$5:$B$22,0))</f>
        <v>12</v>
      </c>
      <c r="H210" s="10"/>
      <c r="I210" s="10"/>
      <c r="J210" s="10"/>
      <c r="K210" s="17"/>
    </row>
    <row r="211" customFormat="false" ht="15" hidden="false" customHeight="false" outlineLevel="0" collapsed="false">
      <c r="A211" s="7" t="n">
        <v>12</v>
      </c>
      <c r="B211" s="11" t="n">
        <f aca="false">Settings!$B$4+(A211-1)*7+2</f>
        <v>46288</v>
      </c>
      <c r="C211" s="5" t="str">
        <f aca="false">TEXT(B211,"dddd")</f>
        <v>Wednesday</v>
      </c>
      <c r="D211" s="5" t="s">
        <v>35</v>
      </c>
      <c r="E211" s="5" t="s">
        <v>38</v>
      </c>
      <c r="F211" s="13" t="n">
        <f aca="false">INDEX('Plan Reference'!$C$5:$C$22,MATCH(E211,'Plan Reference'!$B$5:$B$22,0))</f>
        <v>3</v>
      </c>
      <c r="G211" s="13" t="str">
        <f aca="false">INDEX('Plan Reference'!$D$5:$D$22,MATCH(E211,'Plan Reference'!$B$5:$B$22,0))</f>
        <v>12</v>
      </c>
      <c r="H211" s="7"/>
      <c r="I211" s="7"/>
      <c r="J211" s="7"/>
    </row>
    <row r="212" customFormat="false" ht="15" hidden="false" customHeight="false" outlineLevel="0" collapsed="false">
      <c r="A212" s="10" t="n">
        <v>12</v>
      </c>
      <c r="B212" s="14" t="n">
        <f aca="false">Settings!$B$4+(A212-1)*7+2</f>
        <v>46288</v>
      </c>
      <c r="C212" s="9" t="str">
        <f aca="false">TEXT(B212,"dddd")</f>
        <v>Wednesday</v>
      </c>
      <c r="D212" s="9" t="s">
        <v>35</v>
      </c>
      <c r="E212" s="9" t="s">
        <v>39</v>
      </c>
      <c r="F212" s="16" t="n">
        <f aca="false">INDEX('Plan Reference'!$C$5:$C$22,MATCH(E212,'Plan Reference'!$B$5:$B$22,0))</f>
        <v>3</v>
      </c>
      <c r="G212" s="16" t="str">
        <f aca="false">INDEX('Plan Reference'!$D$5:$D$22,MATCH(E212,'Plan Reference'!$B$5:$B$22,0))</f>
        <v>15</v>
      </c>
      <c r="H212" s="10"/>
      <c r="I212" s="10"/>
      <c r="J212" s="10"/>
      <c r="K212" s="17"/>
    </row>
    <row r="213" customFormat="false" ht="15" hidden="false" customHeight="false" outlineLevel="0" collapsed="false">
      <c r="A213" s="7" t="n">
        <v>12</v>
      </c>
      <c r="B213" s="11" t="n">
        <f aca="false">Settings!$B$4+(A213-1)*7+2</f>
        <v>46288</v>
      </c>
      <c r="C213" s="5" t="str">
        <f aca="false">TEXT(B213,"dddd")</f>
        <v>Wednesday</v>
      </c>
      <c r="D213" s="5" t="s">
        <v>35</v>
      </c>
      <c r="E213" s="5" t="s">
        <v>40</v>
      </c>
      <c r="F213" s="13" t="n">
        <f aca="false">INDEX('Plan Reference'!$C$5:$C$22,MATCH(E213,'Plan Reference'!$B$5:$B$22,0))</f>
        <v>3</v>
      </c>
      <c r="G213" s="13" t="str">
        <f aca="false">INDEX('Plan Reference'!$D$5:$D$22,MATCH(E213,'Plan Reference'!$B$5:$B$22,0))</f>
        <v>12</v>
      </c>
      <c r="H213" s="7"/>
      <c r="I213" s="7"/>
      <c r="J213" s="7"/>
    </row>
    <row r="214" customFormat="false" ht="15" hidden="false" customHeight="false" outlineLevel="0" collapsed="false">
      <c r="A214" s="10" t="n">
        <v>12</v>
      </c>
      <c r="B214" s="14" t="n">
        <f aca="false">Settings!$B$4+(A214-1)*7+2</f>
        <v>46288</v>
      </c>
      <c r="C214" s="9" t="str">
        <f aca="false">TEXT(B214,"dddd")</f>
        <v>Wednesday</v>
      </c>
      <c r="D214" s="9" t="s">
        <v>35</v>
      </c>
      <c r="E214" s="9" t="s">
        <v>41</v>
      </c>
      <c r="F214" s="16" t="n">
        <f aca="false">INDEX('Plan Reference'!$C$5:$C$22,MATCH(E214,'Plan Reference'!$B$5:$B$22,0))</f>
        <v>3</v>
      </c>
      <c r="G214" s="16" t="str">
        <f aca="false">INDEX('Plan Reference'!$D$5:$D$22,MATCH(E214,'Plan Reference'!$B$5:$B$22,0))</f>
        <v>12/side</v>
      </c>
      <c r="H214" s="10"/>
      <c r="I214" s="10"/>
      <c r="J214" s="10"/>
      <c r="K214" s="17"/>
    </row>
    <row r="215" customFormat="false" ht="15" hidden="false" customHeight="false" outlineLevel="0" collapsed="false">
      <c r="A215" s="7" t="n">
        <v>12</v>
      </c>
      <c r="B215" s="11" t="n">
        <f aca="false">Settings!$B$4+(A215-1)*7+4</f>
        <v>46290</v>
      </c>
      <c r="C215" s="5" t="str">
        <f aca="false">TEXT(B215,"dddd")</f>
        <v>Friday</v>
      </c>
      <c r="D215" s="5" t="s">
        <v>43</v>
      </c>
      <c r="E215" s="5" t="s">
        <v>44</v>
      </c>
      <c r="F215" s="13" t="n">
        <f aca="false">INDEX('Plan Reference'!$C$5:$C$22,MATCH(E215,'Plan Reference'!$B$5:$B$22,0))</f>
        <v>3</v>
      </c>
      <c r="G215" s="13" t="str">
        <f aca="false">INDEX('Plan Reference'!$D$5:$D$22,MATCH(E215,'Plan Reference'!$B$5:$B$22,0))</f>
        <v>12</v>
      </c>
      <c r="H215" s="7"/>
      <c r="I215" s="7"/>
      <c r="J215" s="7"/>
    </row>
    <row r="216" customFormat="false" ht="15" hidden="false" customHeight="false" outlineLevel="0" collapsed="false">
      <c r="A216" s="10" t="n">
        <v>12</v>
      </c>
      <c r="B216" s="14" t="n">
        <f aca="false">Settings!$B$4+(A216-1)*7+4</f>
        <v>46290</v>
      </c>
      <c r="C216" s="9" t="str">
        <f aca="false">TEXT(B216,"dddd")</f>
        <v>Friday</v>
      </c>
      <c r="D216" s="9" t="s">
        <v>43</v>
      </c>
      <c r="E216" s="9" t="s">
        <v>45</v>
      </c>
      <c r="F216" s="16" t="n">
        <f aca="false">INDEX('Plan Reference'!$C$5:$C$22,MATCH(E216,'Plan Reference'!$B$5:$B$22,0))</f>
        <v>3</v>
      </c>
      <c r="G216" s="16" t="str">
        <f aca="false">INDEX('Plan Reference'!$D$5:$D$22,MATCH(E216,'Plan Reference'!$B$5:$B$22,0))</f>
        <v>10/side</v>
      </c>
      <c r="H216" s="10"/>
      <c r="I216" s="10"/>
      <c r="J216" s="10"/>
      <c r="K216" s="17"/>
    </row>
    <row r="217" customFormat="false" ht="15" hidden="false" customHeight="false" outlineLevel="0" collapsed="false">
      <c r="A217" s="7" t="n">
        <v>12</v>
      </c>
      <c r="B217" s="11" t="n">
        <f aca="false">Settings!$B$4+(A217-1)*7+4</f>
        <v>46290</v>
      </c>
      <c r="C217" s="5" t="str">
        <f aca="false">TEXT(B217,"dddd")</f>
        <v>Friday</v>
      </c>
      <c r="D217" s="5" t="s">
        <v>43</v>
      </c>
      <c r="E217" s="5" t="s">
        <v>47</v>
      </c>
      <c r="F217" s="13" t="n">
        <f aca="false">INDEX('Plan Reference'!$C$5:$C$22,MATCH(E217,'Plan Reference'!$B$5:$B$22,0))</f>
        <v>3</v>
      </c>
      <c r="G217" s="13" t="str">
        <f aca="false">INDEX('Plan Reference'!$D$5:$D$22,MATCH(E217,'Plan Reference'!$B$5:$B$22,0))</f>
        <v>10/leg</v>
      </c>
      <c r="H217" s="7"/>
      <c r="I217" s="7"/>
      <c r="J217" s="7"/>
    </row>
    <row r="218" customFormat="false" ht="15" hidden="false" customHeight="false" outlineLevel="0" collapsed="false">
      <c r="A218" s="10" t="n">
        <v>12</v>
      </c>
      <c r="B218" s="14" t="n">
        <f aca="false">Settings!$B$4+(A218-1)*7+4</f>
        <v>46290</v>
      </c>
      <c r="C218" s="9" t="str">
        <f aca="false">TEXT(B218,"dddd")</f>
        <v>Friday</v>
      </c>
      <c r="D218" s="9" t="s">
        <v>43</v>
      </c>
      <c r="E218" s="9" t="s">
        <v>48</v>
      </c>
      <c r="F218" s="16" t="n">
        <f aca="false">INDEX('Plan Reference'!$C$5:$C$22,MATCH(E218,'Plan Reference'!$B$5:$B$22,0))</f>
        <v>3</v>
      </c>
      <c r="G218" s="16" t="str">
        <f aca="false">INDEX('Plan Reference'!$D$5:$D$22,MATCH(E218,'Plan Reference'!$B$5:$B$22,0))</f>
        <v>12/side</v>
      </c>
      <c r="H218" s="10"/>
      <c r="I218" s="10"/>
      <c r="J218" s="10"/>
      <c r="K218" s="17"/>
    </row>
    <row r="219" customFormat="false" ht="15" hidden="false" customHeight="false" outlineLevel="0" collapsed="false">
      <c r="A219" s="7" t="n">
        <v>12</v>
      </c>
      <c r="B219" s="11" t="n">
        <f aca="false">Settings!$B$4+(A219-1)*7+4</f>
        <v>46290</v>
      </c>
      <c r="C219" s="5" t="str">
        <f aca="false">TEXT(B219,"dddd")</f>
        <v>Friday</v>
      </c>
      <c r="D219" s="5" t="s">
        <v>43</v>
      </c>
      <c r="E219" s="5" t="s">
        <v>49</v>
      </c>
      <c r="F219" s="13" t="n">
        <f aca="false">INDEX('Plan Reference'!$C$5:$C$22,MATCH(E219,'Plan Reference'!$B$5:$B$22,0))</f>
        <v>3</v>
      </c>
      <c r="G219" s="13" t="str">
        <f aca="false">INDEX('Plan Reference'!$D$5:$D$22,MATCH(E219,'Plan Reference'!$B$5:$B$22,0))</f>
        <v>20-30 sec/side</v>
      </c>
      <c r="H219" s="7"/>
      <c r="I219" s="7"/>
      <c r="J219" s="7"/>
    </row>
    <row r="220" customFormat="false" ht="15" hidden="false" customHeight="false" outlineLevel="0" collapsed="false">
      <c r="A220" s="10" t="n">
        <v>12</v>
      </c>
      <c r="B220" s="14" t="n">
        <f aca="false">Settings!$B$4+(A220-1)*7+4</f>
        <v>46290</v>
      </c>
      <c r="C220" s="9" t="str">
        <f aca="false">TEXT(B220,"dddd")</f>
        <v>Friday</v>
      </c>
      <c r="D220" s="9" t="s">
        <v>43</v>
      </c>
      <c r="E220" s="9" t="s">
        <v>51</v>
      </c>
      <c r="F220" s="16" t="n">
        <f aca="false">INDEX('Plan Reference'!$C$5:$C$22,MATCH(E220,'Plan Reference'!$B$5:$B$22,0))</f>
        <v>3</v>
      </c>
      <c r="G220" s="16" t="str">
        <f aca="false">INDEX('Plan Reference'!$D$5:$D$22,MATCH(E220,'Plan Reference'!$B$5:$B$22,0))</f>
        <v>30 sec</v>
      </c>
      <c r="H220" s="10"/>
      <c r="I220" s="10"/>
      <c r="J220" s="10"/>
      <c r="K220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11" min="9" style="0" width="16"/>
    <col collapsed="false" customWidth="true" hidden="false" outlineLevel="0" max="12" min="12" style="0" width="24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4" t="s">
        <v>77</v>
      </c>
    </row>
    <row r="4" customFormat="false" ht="15" hidden="false" customHeight="false" outlineLevel="0" collapsed="false">
      <c r="A4" s="8" t="s">
        <v>55</v>
      </c>
      <c r="B4" s="8" t="s">
        <v>56</v>
      </c>
      <c r="C4" s="8" t="s">
        <v>78</v>
      </c>
      <c r="D4" s="8" t="s">
        <v>79</v>
      </c>
      <c r="E4" s="8" t="s">
        <v>13</v>
      </c>
      <c r="F4" s="8" t="s">
        <v>14</v>
      </c>
      <c r="G4" s="8" t="s">
        <v>80</v>
      </c>
      <c r="H4" s="8" t="s">
        <v>81</v>
      </c>
      <c r="I4" s="8" t="s">
        <v>82</v>
      </c>
      <c r="J4" s="8" t="s">
        <v>83</v>
      </c>
      <c r="K4" s="8" t="s">
        <v>84</v>
      </c>
      <c r="L4" s="8" t="s">
        <v>63</v>
      </c>
    </row>
    <row r="5" customFormat="false" ht="15" hidden="false" customHeight="false" outlineLevel="0" collapsed="false">
      <c r="A5" s="7" t="n">
        <v>0</v>
      </c>
      <c r="B5" s="18" t="n">
        <f aca="false">Settings!$B$4-1</f>
        <v>46208</v>
      </c>
      <c r="C5" s="13" t="n">
        <f aca="false">Settings!$B$5</f>
        <v>185</v>
      </c>
      <c r="D5" s="13" t="n">
        <f aca="false">Settings!$B$6</f>
        <v>35</v>
      </c>
      <c r="E5" s="13" t="n">
        <f aca="false">Settings!$B$7</f>
        <v>165</v>
      </c>
      <c r="F5" s="13" t="n">
        <f aca="false">Settings!$B$8</f>
        <v>32</v>
      </c>
      <c r="G5" s="5" t="n">
        <f aca="false">IF(C5="","",C5-Settings!$B$5)</f>
        <v>0</v>
      </c>
      <c r="H5" s="5" t="n">
        <f aca="false">IF(D5="","",D5-Settings!$B$6)</f>
        <v>0</v>
      </c>
      <c r="I5" s="5"/>
      <c r="J5" s="19" t="n">
        <f aca="false">IF(C5="","",(Settings!$B$5-C5)/(Settings!$B$5-Settings!$B$7))</f>
        <v>0</v>
      </c>
      <c r="K5" s="19" t="n">
        <f aca="false">IF(D5="","",(Settings!$B$6-D5)/(Settings!$B$6-Settings!$B$8))</f>
        <v>0</v>
      </c>
      <c r="L5" s="5" t="s">
        <v>85</v>
      </c>
    </row>
    <row r="6" customFormat="false" ht="15" hidden="false" customHeight="false" outlineLevel="0" collapsed="false">
      <c r="A6" s="10" t="n">
        <v>1</v>
      </c>
      <c r="B6" s="20" t="n">
        <f aca="false">Settings!$B$4+(1-1)*7+6</f>
        <v>46215</v>
      </c>
      <c r="C6" s="10"/>
      <c r="D6" s="10"/>
      <c r="E6" s="16" t="n">
        <f aca="false">Settings!$B$7</f>
        <v>165</v>
      </c>
      <c r="F6" s="16" t="n">
        <f aca="false">Settings!$B$8</f>
        <v>32</v>
      </c>
      <c r="G6" s="9" t="str">
        <f aca="false">IF(C6="","",C6-Settings!$B$5)</f>
        <v/>
      </c>
      <c r="H6" s="9" t="str">
        <f aca="false">IF(D6="","",D6-Settings!$B$6)</f>
        <v/>
      </c>
      <c r="I6" s="9" t="str">
        <f aca="false">IF(OR(C6="",C5=""),"",C6-C5)</f>
        <v/>
      </c>
      <c r="J6" s="21" t="str">
        <f aca="false">IF(C6="","",(Settings!$B$5-C6)/(Settings!$B$5-Settings!$B$7))</f>
        <v/>
      </c>
      <c r="K6" s="21" t="str">
        <f aca="false">IF(D6="","",(Settings!$B$6-D6)/(Settings!$B$6-Settings!$B$8))</f>
        <v/>
      </c>
      <c r="L6" s="9"/>
    </row>
    <row r="7" customFormat="false" ht="15" hidden="false" customHeight="false" outlineLevel="0" collapsed="false">
      <c r="A7" s="7" t="n">
        <v>2</v>
      </c>
      <c r="B7" s="18" t="n">
        <f aca="false">Settings!$B$4+(2-1)*7+6</f>
        <v>46222</v>
      </c>
      <c r="C7" s="7"/>
      <c r="D7" s="7"/>
      <c r="E7" s="13" t="n">
        <f aca="false">Settings!$B$7</f>
        <v>165</v>
      </c>
      <c r="F7" s="13" t="n">
        <f aca="false">Settings!$B$8</f>
        <v>32</v>
      </c>
      <c r="G7" s="5" t="str">
        <f aca="false">IF(C7="","",C7-Settings!$B$5)</f>
        <v/>
      </c>
      <c r="H7" s="5" t="str">
        <f aca="false">IF(D7="","",D7-Settings!$B$6)</f>
        <v/>
      </c>
      <c r="I7" s="5" t="str">
        <f aca="false">IF(OR(C7="",C6=""),"",C7-C6)</f>
        <v/>
      </c>
      <c r="J7" s="19" t="str">
        <f aca="false">IF(C7="","",(Settings!$B$5-C7)/(Settings!$B$5-Settings!$B$7))</f>
        <v/>
      </c>
      <c r="K7" s="19" t="str">
        <f aca="false">IF(D7="","",(Settings!$B$6-D7)/(Settings!$B$6-Settings!$B$8))</f>
        <v/>
      </c>
      <c r="L7" s="5"/>
    </row>
    <row r="8" customFormat="false" ht="15" hidden="false" customHeight="false" outlineLevel="0" collapsed="false">
      <c r="A8" s="10" t="n">
        <v>3</v>
      </c>
      <c r="B8" s="20" t="n">
        <f aca="false">Settings!$B$4+(3-1)*7+6</f>
        <v>46229</v>
      </c>
      <c r="C8" s="10"/>
      <c r="D8" s="10"/>
      <c r="E8" s="16" t="n">
        <f aca="false">Settings!$B$7</f>
        <v>165</v>
      </c>
      <c r="F8" s="16" t="n">
        <f aca="false">Settings!$B$8</f>
        <v>32</v>
      </c>
      <c r="G8" s="9" t="str">
        <f aca="false">IF(C8="","",C8-Settings!$B$5)</f>
        <v/>
      </c>
      <c r="H8" s="9" t="str">
        <f aca="false">IF(D8="","",D8-Settings!$B$6)</f>
        <v/>
      </c>
      <c r="I8" s="9" t="str">
        <f aca="false">IF(OR(C8="",C7=""),"",C8-C7)</f>
        <v/>
      </c>
      <c r="J8" s="21" t="str">
        <f aca="false">IF(C8="","",(Settings!$B$5-C8)/(Settings!$B$5-Settings!$B$7))</f>
        <v/>
      </c>
      <c r="K8" s="21" t="str">
        <f aca="false">IF(D8="","",(Settings!$B$6-D8)/(Settings!$B$6-Settings!$B$8))</f>
        <v/>
      </c>
      <c r="L8" s="9"/>
    </row>
    <row r="9" customFormat="false" ht="15" hidden="false" customHeight="false" outlineLevel="0" collapsed="false">
      <c r="A9" s="7" t="n">
        <v>4</v>
      </c>
      <c r="B9" s="18" t="n">
        <f aca="false">Settings!$B$4+(4-1)*7+6</f>
        <v>46236</v>
      </c>
      <c r="C9" s="7"/>
      <c r="D9" s="7"/>
      <c r="E9" s="13" t="n">
        <f aca="false">Settings!$B$7</f>
        <v>165</v>
      </c>
      <c r="F9" s="13" t="n">
        <f aca="false">Settings!$B$8</f>
        <v>32</v>
      </c>
      <c r="G9" s="5" t="str">
        <f aca="false">IF(C9="","",C9-Settings!$B$5)</f>
        <v/>
      </c>
      <c r="H9" s="5" t="str">
        <f aca="false">IF(D9="","",D9-Settings!$B$6)</f>
        <v/>
      </c>
      <c r="I9" s="5" t="str">
        <f aca="false">IF(OR(C9="",C8=""),"",C9-C8)</f>
        <v/>
      </c>
      <c r="J9" s="19" t="str">
        <f aca="false">IF(C9="","",(Settings!$B$5-C9)/(Settings!$B$5-Settings!$B$7))</f>
        <v/>
      </c>
      <c r="K9" s="19" t="str">
        <f aca="false">IF(D9="","",(Settings!$B$6-D9)/(Settings!$B$6-Settings!$B$8))</f>
        <v/>
      </c>
      <c r="L9" s="5"/>
    </row>
    <row r="10" customFormat="false" ht="15" hidden="false" customHeight="false" outlineLevel="0" collapsed="false">
      <c r="A10" s="10" t="n">
        <v>5</v>
      </c>
      <c r="B10" s="20" t="n">
        <f aca="false">Settings!$B$4+(5-1)*7+6</f>
        <v>46243</v>
      </c>
      <c r="C10" s="10"/>
      <c r="D10" s="10"/>
      <c r="E10" s="16" t="n">
        <f aca="false">Settings!$B$7</f>
        <v>165</v>
      </c>
      <c r="F10" s="16" t="n">
        <f aca="false">Settings!$B$8</f>
        <v>32</v>
      </c>
      <c r="G10" s="9" t="str">
        <f aca="false">IF(C10="","",C10-Settings!$B$5)</f>
        <v/>
      </c>
      <c r="H10" s="9" t="str">
        <f aca="false">IF(D10="","",D10-Settings!$B$6)</f>
        <v/>
      </c>
      <c r="I10" s="9" t="str">
        <f aca="false">IF(OR(C10="",C9=""),"",C10-C9)</f>
        <v/>
      </c>
      <c r="J10" s="21" t="str">
        <f aca="false">IF(C10="","",(Settings!$B$5-C10)/(Settings!$B$5-Settings!$B$7))</f>
        <v/>
      </c>
      <c r="K10" s="21" t="str">
        <f aca="false">IF(D10="","",(Settings!$B$6-D10)/(Settings!$B$6-Settings!$B$8))</f>
        <v/>
      </c>
      <c r="L10" s="9"/>
    </row>
    <row r="11" customFormat="false" ht="15" hidden="false" customHeight="false" outlineLevel="0" collapsed="false">
      <c r="A11" s="7" t="n">
        <v>6</v>
      </c>
      <c r="B11" s="18" t="n">
        <f aca="false">Settings!$B$4+(6-1)*7+6</f>
        <v>46250</v>
      </c>
      <c r="C11" s="7"/>
      <c r="D11" s="7"/>
      <c r="E11" s="13" t="n">
        <f aca="false">Settings!$B$7</f>
        <v>165</v>
      </c>
      <c r="F11" s="13" t="n">
        <f aca="false">Settings!$B$8</f>
        <v>32</v>
      </c>
      <c r="G11" s="5" t="str">
        <f aca="false">IF(C11="","",C11-Settings!$B$5)</f>
        <v/>
      </c>
      <c r="H11" s="5" t="str">
        <f aca="false">IF(D11="","",D11-Settings!$B$6)</f>
        <v/>
      </c>
      <c r="I11" s="5" t="str">
        <f aca="false">IF(OR(C11="",C10=""),"",C11-C10)</f>
        <v/>
      </c>
      <c r="J11" s="19" t="str">
        <f aca="false">IF(C11="","",(Settings!$B$5-C11)/(Settings!$B$5-Settings!$B$7))</f>
        <v/>
      </c>
      <c r="K11" s="19" t="str">
        <f aca="false">IF(D11="","",(Settings!$B$6-D11)/(Settings!$B$6-Settings!$B$8))</f>
        <v/>
      </c>
      <c r="L11" s="5"/>
    </row>
    <row r="12" customFormat="false" ht="15" hidden="false" customHeight="false" outlineLevel="0" collapsed="false">
      <c r="A12" s="10" t="n">
        <v>7</v>
      </c>
      <c r="B12" s="20" t="n">
        <f aca="false">Settings!$B$4+(7-1)*7+6</f>
        <v>46257</v>
      </c>
      <c r="C12" s="10"/>
      <c r="D12" s="10"/>
      <c r="E12" s="16" t="n">
        <f aca="false">Settings!$B$7</f>
        <v>165</v>
      </c>
      <c r="F12" s="16" t="n">
        <f aca="false">Settings!$B$8</f>
        <v>32</v>
      </c>
      <c r="G12" s="9" t="str">
        <f aca="false">IF(C12="","",C12-Settings!$B$5)</f>
        <v/>
      </c>
      <c r="H12" s="9" t="str">
        <f aca="false">IF(D12="","",D12-Settings!$B$6)</f>
        <v/>
      </c>
      <c r="I12" s="9" t="str">
        <f aca="false">IF(OR(C12="",C11=""),"",C12-C11)</f>
        <v/>
      </c>
      <c r="J12" s="21" t="str">
        <f aca="false">IF(C12="","",(Settings!$B$5-C12)/(Settings!$B$5-Settings!$B$7))</f>
        <v/>
      </c>
      <c r="K12" s="21" t="str">
        <f aca="false">IF(D12="","",(Settings!$B$6-D12)/(Settings!$B$6-Settings!$B$8))</f>
        <v/>
      </c>
      <c r="L12" s="9"/>
    </row>
    <row r="13" customFormat="false" ht="15" hidden="false" customHeight="false" outlineLevel="0" collapsed="false">
      <c r="A13" s="7" t="n">
        <v>8</v>
      </c>
      <c r="B13" s="18" t="n">
        <f aca="false">Settings!$B$4+(8-1)*7+6</f>
        <v>46264</v>
      </c>
      <c r="C13" s="7"/>
      <c r="D13" s="7"/>
      <c r="E13" s="13" t="n">
        <f aca="false">Settings!$B$7</f>
        <v>165</v>
      </c>
      <c r="F13" s="13" t="n">
        <f aca="false">Settings!$B$8</f>
        <v>32</v>
      </c>
      <c r="G13" s="5" t="str">
        <f aca="false">IF(C13="","",C13-Settings!$B$5)</f>
        <v/>
      </c>
      <c r="H13" s="5" t="str">
        <f aca="false">IF(D13="","",D13-Settings!$B$6)</f>
        <v/>
      </c>
      <c r="I13" s="5" t="str">
        <f aca="false">IF(OR(C13="",C12=""),"",C13-C12)</f>
        <v/>
      </c>
      <c r="J13" s="19" t="str">
        <f aca="false">IF(C13="","",(Settings!$B$5-C13)/(Settings!$B$5-Settings!$B$7))</f>
        <v/>
      </c>
      <c r="K13" s="19" t="str">
        <f aca="false">IF(D13="","",(Settings!$B$6-D13)/(Settings!$B$6-Settings!$B$8))</f>
        <v/>
      </c>
      <c r="L13" s="5"/>
    </row>
    <row r="14" customFormat="false" ht="15" hidden="false" customHeight="false" outlineLevel="0" collapsed="false">
      <c r="A14" s="10" t="n">
        <v>9</v>
      </c>
      <c r="B14" s="20" t="n">
        <f aca="false">Settings!$B$4+(9-1)*7+6</f>
        <v>46271</v>
      </c>
      <c r="C14" s="10"/>
      <c r="D14" s="10"/>
      <c r="E14" s="16" t="n">
        <f aca="false">Settings!$B$7</f>
        <v>165</v>
      </c>
      <c r="F14" s="16" t="n">
        <f aca="false">Settings!$B$8</f>
        <v>32</v>
      </c>
      <c r="G14" s="9" t="str">
        <f aca="false">IF(C14="","",C14-Settings!$B$5)</f>
        <v/>
      </c>
      <c r="H14" s="9" t="str">
        <f aca="false">IF(D14="","",D14-Settings!$B$6)</f>
        <v/>
      </c>
      <c r="I14" s="9" t="str">
        <f aca="false">IF(OR(C14="",C13=""),"",C14-C13)</f>
        <v/>
      </c>
      <c r="J14" s="21" t="str">
        <f aca="false">IF(C14="","",(Settings!$B$5-C14)/(Settings!$B$5-Settings!$B$7))</f>
        <v/>
      </c>
      <c r="K14" s="21" t="str">
        <f aca="false">IF(D14="","",(Settings!$B$6-D14)/(Settings!$B$6-Settings!$B$8))</f>
        <v/>
      </c>
      <c r="L14" s="9"/>
    </row>
    <row r="15" customFormat="false" ht="15" hidden="false" customHeight="false" outlineLevel="0" collapsed="false">
      <c r="A15" s="7" t="n">
        <v>10</v>
      </c>
      <c r="B15" s="18" t="n">
        <f aca="false">Settings!$B$4+(10-1)*7+6</f>
        <v>46278</v>
      </c>
      <c r="C15" s="7"/>
      <c r="D15" s="7"/>
      <c r="E15" s="13" t="n">
        <f aca="false">Settings!$B$7</f>
        <v>165</v>
      </c>
      <c r="F15" s="13" t="n">
        <f aca="false">Settings!$B$8</f>
        <v>32</v>
      </c>
      <c r="G15" s="5" t="str">
        <f aca="false">IF(C15="","",C15-Settings!$B$5)</f>
        <v/>
      </c>
      <c r="H15" s="5" t="str">
        <f aca="false">IF(D15="","",D15-Settings!$B$6)</f>
        <v/>
      </c>
      <c r="I15" s="5" t="str">
        <f aca="false">IF(OR(C15="",C14=""),"",C15-C14)</f>
        <v/>
      </c>
      <c r="J15" s="19" t="str">
        <f aca="false">IF(C15="","",(Settings!$B$5-C15)/(Settings!$B$5-Settings!$B$7))</f>
        <v/>
      </c>
      <c r="K15" s="19" t="str">
        <f aca="false">IF(D15="","",(Settings!$B$6-D15)/(Settings!$B$6-Settings!$B$8))</f>
        <v/>
      </c>
      <c r="L15" s="5"/>
    </row>
    <row r="16" customFormat="false" ht="15" hidden="false" customHeight="false" outlineLevel="0" collapsed="false">
      <c r="A16" s="10" t="n">
        <v>11</v>
      </c>
      <c r="B16" s="20" t="n">
        <f aca="false">Settings!$B$4+(11-1)*7+6</f>
        <v>46285</v>
      </c>
      <c r="C16" s="10"/>
      <c r="D16" s="10"/>
      <c r="E16" s="16" t="n">
        <f aca="false">Settings!$B$7</f>
        <v>165</v>
      </c>
      <c r="F16" s="16" t="n">
        <f aca="false">Settings!$B$8</f>
        <v>32</v>
      </c>
      <c r="G16" s="9" t="str">
        <f aca="false">IF(C16="","",C16-Settings!$B$5)</f>
        <v/>
      </c>
      <c r="H16" s="9" t="str">
        <f aca="false">IF(D16="","",D16-Settings!$B$6)</f>
        <v/>
      </c>
      <c r="I16" s="9" t="str">
        <f aca="false">IF(OR(C16="",C15=""),"",C16-C15)</f>
        <v/>
      </c>
      <c r="J16" s="21" t="str">
        <f aca="false">IF(C16="","",(Settings!$B$5-C16)/(Settings!$B$5-Settings!$B$7))</f>
        <v/>
      </c>
      <c r="K16" s="21" t="str">
        <f aca="false">IF(D16="","",(Settings!$B$6-D16)/(Settings!$B$6-Settings!$B$8))</f>
        <v/>
      </c>
      <c r="L16" s="9"/>
    </row>
    <row r="17" customFormat="false" ht="15" hidden="false" customHeight="false" outlineLevel="0" collapsed="false">
      <c r="A17" s="7" t="n">
        <v>12</v>
      </c>
      <c r="B17" s="18" t="n">
        <f aca="false">Settings!$B$4+(12-1)*7+6</f>
        <v>46292</v>
      </c>
      <c r="C17" s="7"/>
      <c r="D17" s="7"/>
      <c r="E17" s="13" t="n">
        <f aca="false">Settings!$B$7</f>
        <v>165</v>
      </c>
      <c r="F17" s="13" t="n">
        <f aca="false">Settings!$B$8</f>
        <v>32</v>
      </c>
      <c r="G17" s="5" t="str">
        <f aca="false">IF(C17="","",C17-Settings!$B$5)</f>
        <v/>
      </c>
      <c r="H17" s="5" t="str">
        <f aca="false">IF(D17="","",D17-Settings!$B$6)</f>
        <v/>
      </c>
      <c r="I17" s="5" t="str">
        <f aca="false">IF(OR(C17="",C16=""),"",C17-C16)</f>
        <v/>
      </c>
      <c r="J17" s="19" t="str">
        <f aca="false">IF(C17="","",(Settings!$B$5-C17)/(Settings!$B$5-Settings!$B$7))</f>
        <v/>
      </c>
      <c r="K17" s="19" t="str">
        <f aca="false">IF(D17="","",(Settings!$B$6-D17)/(Settings!$B$6-Settings!$B$8))</f>
        <v/>
      </c>
      <c r="L1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4" t="s">
        <v>87</v>
      </c>
    </row>
    <row r="4" customFormat="false" ht="15" hidden="false" customHeight="false" outlineLevel="0" collapsed="false">
      <c r="A4" s="8" t="s">
        <v>55</v>
      </c>
      <c r="B4" s="8" t="s">
        <v>88</v>
      </c>
      <c r="C4" s="8" t="s">
        <v>89</v>
      </c>
      <c r="D4" s="8" t="s">
        <v>90</v>
      </c>
      <c r="E4" s="8" t="s">
        <v>91</v>
      </c>
      <c r="F4" s="8" t="s">
        <v>92</v>
      </c>
      <c r="G4" s="8" t="s">
        <v>93</v>
      </c>
      <c r="H4" s="8" t="s">
        <v>94</v>
      </c>
    </row>
    <row r="5" customFormat="false" ht="15" hidden="false" customHeight="false" outlineLevel="0" collapsed="false">
      <c r="A5" s="7" t="n">
        <v>1</v>
      </c>
      <c r="B5" s="22" t="n">
        <f aca="false">SUMIFS('Daily Log'!$E$5:$E$88,'Daily Log'!$A$5:$A$88,A5)</f>
        <v>0</v>
      </c>
      <c r="C5" s="22" t="n">
        <f aca="false">Settings!$B$9/4.33</f>
        <v>13.8568129330254</v>
      </c>
      <c r="D5" s="13" t="n">
        <f aca="false">ROUND(COUNTIFS('Strength Log'!$A$5:$A$220,A5,'Strength Log'!$H$5:$H$220,"&lt;&gt;")/6,1)</f>
        <v>0</v>
      </c>
      <c r="E5" s="13" t="n">
        <f aca="false">Settings!$B$10</f>
        <v>3</v>
      </c>
      <c r="F5" s="13" t="str">
        <f aca="false">IFERROR(maxifs('Strength Log'!$J$5:$J$220,'Strength Log'!$A$5:$A$220,A5,'Strength Log'!$E$5:$E$220,"Goblet Squat"),"")</f>
        <v/>
      </c>
      <c r="G5" s="13" t="str">
        <f aca="false">IFERROR(maxifs('Strength Log'!$J$5:$J$220,'Strength Log'!$A$5:$A$220,A5,'Strength Log'!$E$5:$E$220,"Dumbbell Floor Press"),"")</f>
        <v/>
      </c>
      <c r="H5" s="13" t="str">
        <f aca="false">IFERROR(maxifs('Strength Log'!$J$5:$J$220,'Strength Log'!$A$5:$A$220,A5,'Strength Log'!$E$5:$E$220,"Dumbbell Thruster"),"")</f>
        <v/>
      </c>
    </row>
    <row r="6" customFormat="false" ht="15" hidden="false" customHeight="false" outlineLevel="0" collapsed="false">
      <c r="A6" s="10" t="n">
        <v>2</v>
      </c>
      <c r="B6" s="23" t="n">
        <f aca="false">SUMIFS('Daily Log'!$E$5:$E$88,'Daily Log'!$A$5:$A$88,A6)</f>
        <v>0</v>
      </c>
      <c r="C6" s="23" t="n">
        <f aca="false">Settings!$B$9/4.33</f>
        <v>13.8568129330254</v>
      </c>
      <c r="D6" s="16" t="n">
        <f aca="false">ROUND(COUNTIFS('Strength Log'!$A$5:$A$220,A6,'Strength Log'!$H$5:$H$220,"&lt;&gt;")/6,1)</f>
        <v>0</v>
      </c>
      <c r="E6" s="16" t="n">
        <f aca="false">Settings!$B$10</f>
        <v>3</v>
      </c>
      <c r="F6" s="16" t="str">
        <f aca="false">IFERROR(maxifs('Strength Log'!$J$5:$J$220,'Strength Log'!$A$5:$A$220,A6,'Strength Log'!$E$5:$E$220,"Goblet Squat"),"")</f>
        <v/>
      </c>
      <c r="G6" s="16" t="str">
        <f aca="false">IFERROR(maxifs('Strength Log'!$J$5:$J$220,'Strength Log'!$A$5:$A$220,A6,'Strength Log'!$E$5:$E$220,"Dumbbell Floor Press"),"")</f>
        <v/>
      </c>
      <c r="H6" s="16" t="str">
        <f aca="false">IFERROR(maxifs('Strength Log'!$J$5:$J$220,'Strength Log'!$A$5:$A$220,A6,'Strength Log'!$E$5:$E$220,"Dumbbell Thruster"),"")</f>
        <v/>
      </c>
    </row>
    <row r="7" customFormat="false" ht="15" hidden="false" customHeight="false" outlineLevel="0" collapsed="false">
      <c r="A7" s="7" t="n">
        <v>3</v>
      </c>
      <c r="B7" s="22" t="n">
        <f aca="false">SUMIFS('Daily Log'!$E$5:$E$88,'Daily Log'!$A$5:$A$88,A7)</f>
        <v>0</v>
      </c>
      <c r="C7" s="22" t="n">
        <f aca="false">Settings!$B$9/4.33</f>
        <v>13.8568129330254</v>
      </c>
      <c r="D7" s="13" t="n">
        <f aca="false">ROUND(COUNTIFS('Strength Log'!$A$5:$A$220,A7,'Strength Log'!$H$5:$H$220,"&lt;&gt;")/6,1)</f>
        <v>0</v>
      </c>
      <c r="E7" s="13" t="n">
        <f aca="false">Settings!$B$10</f>
        <v>3</v>
      </c>
      <c r="F7" s="13" t="str">
        <f aca="false">IFERROR(maxifs('Strength Log'!$J$5:$J$220,'Strength Log'!$A$5:$A$220,A7,'Strength Log'!$E$5:$E$220,"Goblet Squat"),"")</f>
        <v/>
      </c>
      <c r="G7" s="13" t="str">
        <f aca="false">IFERROR(maxifs('Strength Log'!$J$5:$J$220,'Strength Log'!$A$5:$A$220,A7,'Strength Log'!$E$5:$E$220,"Dumbbell Floor Press"),"")</f>
        <v/>
      </c>
      <c r="H7" s="13" t="str">
        <f aca="false">IFERROR(maxifs('Strength Log'!$J$5:$J$220,'Strength Log'!$A$5:$A$220,A7,'Strength Log'!$E$5:$E$220,"Dumbbell Thruster"),"")</f>
        <v/>
      </c>
    </row>
    <row r="8" customFormat="false" ht="15" hidden="false" customHeight="false" outlineLevel="0" collapsed="false">
      <c r="A8" s="10" t="n">
        <v>4</v>
      </c>
      <c r="B8" s="23" t="n">
        <f aca="false">SUMIFS('Daily Log'!$E$5:$E$88,'Daily Log'!$A$5:$A$88,A8)</f>
        <v>0</v>
      </c>
      <c r="C8" s="23" t="n">
        <f aca="false">Settings!$B$9/4.33</f>
        <v>13.8568129330254</v>
      </c>
      <c r="D8" s="16" t="n">
        <f aca="false">ROUND(COUNTIFS('Strength Log'!$A$5:$A$220,A8,'Strength Log'!$H$5:$H$220,"&lt;&gt;")/6,1)</f>
        <v>0</v>
      </c>
      <c r="E8" s="16" t="n">
        <f aca="false">Settings!$B$10</f>
        <v>3</v>
      </c>
      <c r="F8" s="16" t="str">
        <f aca="false">IFERROR(maxifs('Strength Log'!$J$5:$J$220,'Strength Log'!$A$5:$A$220,A8,'Strength Log'!$E$5:$E$220,"Goblet Squat"),"")</f>
        <v/>
      </c>
      <c r="G8" s="16" t="str">
        <f aca="false">IFERROR(maxifs('Strength Log'!$J$5:$J$220,'Strength Log'!$A$5:$A$220,A8,'Strength Log'!$E$5:$E$220,"Dumbbell Floor Press"),"")</f>
        <v/>
      </c>
      <c r="H8" s="16" t="str">
        <f aca="false">IFERROR(maxifs('Strength Log'!$J$5:$J$220,'Strength Log'!$A$5:$A$220,A8,'Strength Log'!$E$5:$E$220,"Dumbbell Thruster"),"")</f>
        <v/>
      </c>
    </row>
    <row r="9" customFormat="false" ht="15" hidden="false" customHeight="false" outlineLevel="0" collapsed="false">
      <c r="A9" s="7" t="n">
        <v>5</v>
      </c>
      <c r="B9" s="22" t="n">
        <f aca="false">SUMIFS('Daily Log'!$E$5:$E$88,'Daily Log'!$A$5:$A$88,A9)</f>
        <v>0</v>
      </c>
      <c r="C9" s="22" t="n">
        <f aca="false">Settings!$B$9/4.33</f>
        <v>13.8568129330254</v>
      </c>
      <c r="D9" s="13" t="n">
        <f aca="false">ROUND(COUNTIFS('Strength Log'!$A$5:$A$220,A9,'Strength Log'!$H$5:$H$220,"&lt;&gt;")/6,1)</f>
        <v>0</v>
      </c>
      <c r="E9" s="13" t="n">
        <f aca="false">Settings!$B$10</f>
        <v>3</v>
      </c>
      <c r="F9" s="13" t="str">
        <f aca="false">IFERROR(maxifs('Strength Log'!$J$5:$J$220,'Strength Log'!$A$5:$A$220,A9,'Strength Log'!$E$5:$E$220,"Goblet Squat"),"")</f>
        <v/>
      </c>
      <c r="G9" s="13" t="str">
        <f aca="false">IFERROR(maxifs('Strength Log'!$J$5:$J$220,'Strength Log'!$A$5:$A$220,A9,'Strength Log'!$E$5:$E$220,"Dumbbell Floor Press"),"")</f>
        <v/>
      </c>
      <c r="H9" s="13" t="str">
        <f aca="false">IFERROR(maxifs('Strength Log'!$J$5:$J$220,'Strength Log'!$A$5:$A$220,A9,'Strength Log'!$E$5:$E$220,"Dumbbell Thruster"),"")</f>
        <v/>
      </c>
    </row>
    <row r="10" customFormat="false" ht="15" hidden="false" customHeight="false" outlineLevel="0" collapsed="false">
      <c r="A10" s="10" t="n">
        <v>6</v>
      </c>
      <c r="B10" s="23" t="n">
        <f aca="false">SUMIFS('Daily Log'!$E$5:$E$88,'Daily Log'!$A$5:$A$88,A10)</f>
        <v>0</v>
      </c>
      <c r="C10" s="23" t="n">
        <f aca="false">Settings!$B$9/4.33</f>
        <v>13.8568129330254</v>
      </c>
      <c r="D10" s="16" t="n">
        <f aca="false">ROUND(COUNTIFS('Strength Log'!$A$5:$A$220,A10,'Strength Log'!$H$5:$H$220,"&lt;&gt;")/6,1)</f>
        <v>0</v>
      </c>
      <c r="E10" s="16" t="n">
        <f aca="false">Settings!$B$10</f>
        <v>3</v>
      </c>
      <c r="F10" s="16" t="str">
        <f aca="false">IFERROR(maxifs('Strength Log'!$J$5:$J$220,'Strength Log'!$A$5:$A$220,A10,'Strength Log'!$E$5:$E$220,"Goblet Squat"),"")</f>
        <v/>
      </c>
      <c r="G10" s="16" t="str">
        <f aca="false">IFERROR(maxifs('Strength Log'!$J$5:$J$220,'Strength Log'!$A$5:$A$220,A10,'Strength Log'!$E$5:$E$220,"Dumbbell Floor Press"),"")</f>
        <v/>
      </c>
      <c r="H10" s="16" t="str">
        <f aca="false">IFERROR(maxifs('Strength Log'!$J$5:$J$220,'Strength Log'!$A$5:$A$220,A10,'Strength Log'!$E$5:$E$220,"Dumbbell Thruster"),"")</f>
        <v/>
      </c>
    </row>
    <row r="11" customFormat="false" ht="15" hidden="false" customHeight="false" outlineLevel="0" collapsed="false">
      <c r="A11" s="7" t="n">
        <v>7</v>
      </c>
      <c r="B11" s="22" t="n">
        <f aca="false">SUMIFS('Daily Log'!$E$5:$E$88,'Daily Log'!$A$5:$A$88,A11)</f>
        <v>0</v>
      </c>
      <c r="C11" s="22" t="n">
        <f aca="false">Settings!$B$9/4.33</f>
        <v>13.8568129330254</v>
      </c>
      <c r="D11" s="13" t="n">
        <f aca="false">ROUND(COUNTIFS('Strength Log'!$A$5:$A$220,A11,'Strength Log'!$H$5:$H$220,"&lt;&gt;")/6,1)</f>
        <v>0</v>
      </c>
      <c r="E11" s="13" t="n">
        <f aca="false">Settings!$B$10</f>
        <v>3</v>
      </c>
      <c r="F11" s="13" t="str">
        <f aca="false">IFERROR(maxifs('Strength Log'!$J$5:$J$220,'Strength Log'!$A$5:$A$220,A11,'Strength Log'!$E$5:$E$220,"Goblet Squat"),"")</f>
        <v/>
      </c>
      <c r="G11" s="13" t="str">
        <f aca="false">IFERROR(maxifs('Strength Log'!$J$5:$J$220,'Strength Log'!$A$5:$A$220,A11,'Strength Log'!$E$5:$E$220,"Dumbbell Floor Press"),"")</f>
        <v/>
      </c>
      <c r="H11" s="13" t="str">
        <f aca="false">IFERROR(maxifs('Strength Log'!$J$5:$J$220,'Strength Log'!$A$5:$A$220,A11,'Strength Log'!$E$5:$E$220,"Dumbbell Thruster"),"")</f>
        <v/>
      </c>
    </row>
    <row r="12" customFormat="false" ht="15" hidden="false" customHeight="false" outlineLevel="0" collapsed="false">
      <c r="A12" s="10" t="n">
        <v>8</v>
      </c>
      <c r="B12" s="23" t="n">
        <f aca="false">SUMIFS('Daily Log'!$E$5:$E$88,'Daily Log'!$A$5:$A$88,A12)</f>
        <v>0</v>
      </c>
      <c r="C12" s="23" t="n">
        <f aca="false">Settings!$B$9/4.33</f>
        <v>13.8568129330254</v>
      </c>
      <c r="D12" s="16" t="n">
        <f aca="false">ROUND(COUNTIFS('Strength Log'!$A$5:$A$220,A12,'Strength Log'!$H$5:$H$220,"&lt;&gt;")/6,1)</f>
        <v>0</v>
      </c>
      <c r="E12" s="16" t="n">
        <f aca="false">Settings!$B$10</f>
        <v>3</v>
      </c>
      <c r="F12" s="16" t="str">
        <f aca="false">IFERROR(maxifs('Strength Log'!$J$5:$J$220,'Strength Log'!$A$5:$A$220,A12,'Strength Log'!$E$5:$E$220,"Goblet Squat"),"")</f>
        <v/>
      </c>
      <c r="G12" s="16" t="str">
        <f aca="false">IFERROR(maxifs('Strength Log'!$J$5:$J$220,'Strength Log'!$A$5:$A$220,A12,'Strength Log'!$E$5:$E$220,"Dumbbell Floor Press"),"")</f>
        <v/>
      </c>
      <c r="H12" s="16" t="str">
        <f aca="false">IFERROR(maxifs('Strength Log'!$J$5:$J$220,'Strength Log'!$A$5:$A$220,A12,'Strength Log'!$E$5:$E$220,"Dumbbell Thruster"),"")</f>
        <v/>
      </c>
    </row>
    <row r="13" customFormat="false" ht="15" hidden="false" customHeight="false" outlineLevel="0" collapsed="false">
      <c r="A13" s="7" t="n">
        <v>9</v>
      </c>
      <c r="B13" s="22" t="n">
        <f aca="false">SUMIFS('Daily Log'!$E$5:$E$88,'Daily Log'!$A$5:$A$88,A13)</f>
        <v>0</v>
      </c>
      <c r="C13" s="22" t="n">
        <f aca="false">Settings!$B$9/4.33</f>
        <v>13.8568129330254</v>
      </c>
      <c r="D13" s="13" t="n">
        <f aca="false">ROUND(COUNTIFS('Strength Log'!$A$5:$A$220,A13,'Strength Log'!$H$5:$H$220,"&lt;&gt;")/6,1)</f>
        <v>0</v>
      </c>
      <c r="E13" s="13" t="n">
        <f aca="false">Settings!$B$10</f>
        <v>3</v>
      </c>
      <c r="F13" s="13" t="str">
        <f aca="false">IFERROR(maxifs('Strength Log'!$J$5:$J$220,'Strength Log'!$A$5:$A$220,A13,'Strength Log'!$E$5:$E$220,"Goblet Squat"),"")</f>
        <v/>
      </c>
      <c r="G13" s="13" t="str">
        <f aca="false">IFERROR(maxifs('Strength Log'!$J$5:$J$220,'Strength Log'!$A$5:$A$220,A13,'Strength Log'!$E$5:$E$220,"Dumbbell Floor Press"),"")</f>
        <v/>
      </c>
      <c r="H13" s="13" t="str">
        <f aca="false">IFERROR(maxifs('Strength Log'!$J$5:$J$220,'Strength Log'!$A$5:$A$220,A13,'Strength Log'!$E$5:$E$220,"Dumbbell Thruster"),"")</f>
        <v/>
      </c>
    </row>
    <row r="14" customFormat="false" ht="15" hidden="false" customHeight="false" outlineLevel="0" collapsed="false">
      <c r="A14" s="10" t="n">
        <v>10</v>
      </c>
      <c r="B14" s="23" t="n">
        <f aca="false">SUMIFS('Daily Log'!$E$5:$E$88,'Daily Log'!$A$5:$A$88,A14)</f>
        <v>0</v>
      </c>
      <c r="C14" s="23" t="n">
        <f aca="false">Settings!$B$9/4.33</f>
        <v>13.8568129330254</v>
      </c>
      <c r="D14" s="16" t="n">
        <f aca="false">ROUND(COUNTIFS('Strength Log'!$A$5:$A$220,A14,'Strength Log'!$H$5:$H$220,"&lt;&gt;")/6,1)</f>
        <v>0</v>
      </c>
      <c r="E14" s="16" t="n">
        <f aca="false">Settings!$B$10</f>
        <v>3</v>
      </c>
      <c r="F14" s="16" t="str">
        <f aca="false">IFERROR(maxifs('Strength Log'!$J$5:$J$220,'Strength Log'!$A$5:$A$220,A14,'Strength Log'!$E$5:$E$220,"Goblet Squat"),"")</f>
        <v/>
      </c>
      <c r="G14" s="16" t="str">
        <f aca="false">IFERROR(maxifs('Strength Log'!$J$5:$J$220,'Strength Log'!$A$5:$A$220,A14,'Strength Log'!$E$5:$E$220,"Dumbbell Floor Press"),"")</f>
        <v/>
      </c>
      <c r="H14" s="16" t="str">
        <f aca="false">IFERROR(maxifs('Strength Log'!$J$5:$J$220,'Strength Log'!$A$5:$A$220,A14,'Strength Log'!$E$5:$E$220,"Dumbbell Thruster"),"")</f>
        <v/>
      </c>
    </row>
    <row r="15" customFormat="false" ht="15" hidden="false" customHeight="false" outlineLevel="0" collapsed="false">
      <c r="A15" s="7" t="n">
        <v>11</v>
      </c>
      <c r="B15" s="22" t="n">
        <f aca="false">SUMIFS('Daily Log'!$E$5:$E$88,'Daily Log'!$A$5:$A$88,A15)</f>
        <v>0</v>
      </c>
      <c r="C15" s="22" t="n">
        <f aca="false">Settings!$B$9/4.33</f>
        <v>13.8568129330254</v>
      </c>
      <c r="D15" s="13" t="n">
        <f aca="false">ROUND(COUNTIFS('Strength Log'!$A$5:$A$220,A15,'Strength Log'!$H$5:$H$220,"&lt;&gt;")/6,1)</f>
        <v>0</v>
      </c>
      <c r="E15" s="13" t="n">
        <f aca="false">Settings!$B$10</f>
        <v>3</v>
      </c>
      <c r="F15" s="13" t="str">
        <f aca="false">IFERROR(maxifs('Strength Log'!$J$5:$J$220,'Strength Log'!$A$5:$A$220,A15,'Strength Log'!$E$5:$E$220,"Goblet Squat"),"")</f>
        <v/>
      </c>
      <c r="G15" s="13" t="str">
        <f aca="false">IFERROR(maxifs('Strength Log'!$J$5:$J$220,'Strength Log'!$A$5:$A$220,A15,'Strength Log'!$E$5:$E$220,"Dumbbell Floor Press"),"")</f>
        <v/>
      </c>
      <c r="H15" s="13" t="str">
        <f aca="false">IFERROR(maxifs('Strength Log'!$J$5:$J$220,'Strength Log'!$A$5:$A$220,A15,'Strength Log'!$E$5:$E$220,"Dumbbell Thruster"),"")</f>
        <v/>
      </c>
    </row>
    <row r="16" customFormat="false" ht="15" hidden="false" customHeight="false" outlineLevel="0" collapsed="false">
      <c r="A16" s="10" t="n">
        <v>12</v>
      </c>
      <c r="B16" s="23" t="n">
        <f aca="false">SUMIFS('Daily Log'!$E$5:$E$88,'Daily Log'!$A$5:$A$88,A16)</f>
        <v>0</v>
      </c>
      <c r="C16" s="23" t="n">
        <f aca="false">Settings!$B$9/4.33</f>
        <v>13.8568129330254</v>
      </c>
      <c r="D16" s="16" t="n">
        <f aca="false">ROUND(COUNTIFS('Strength Log'!$A$5:$A$220,A16,'Strength Log'!$H$5:$H$220,"&lt;&gt;")/6,1)</f>
        <v>0</v>
      </c>
      <c r="E16" s="16" t="n">
        <f aca="false">Settings!$B$10</f>
        <v>3</v>
      </c>
      <c r="F16" s="16" t="str">
        <f aca="false">IFERROR(maxifs('Strength Log'!$J$5:$J$220,'Strength Log'!$A$5:$A$220,A16,'Strength Log'!$E$5:$E$220,"Goblet Squat"),"")</f>
        <v/>
      </c>
      <c r="G16" s="16" t="str">
        <f aca="false">IFERROR(maxifs('Strength Log'!$J$5:$J$220,'Strength Log'!$A$5:$A$220,A16,'Strength Log'!$E$5:$E$220,"Dumbbell Floor Press"),"")</f>
        <v/>
      </c>
      <c r="H16" s="16" t="str">
        <f aca="false">IFERROR(maxifs('Strength Log'!$J$5:$J$220,'Strength Log'!$A$5:$A$220,A16,'Strength Log'!$E$5:$E$220,"Dumbbell Thruster"),"")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4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2026-07-02T00:48:30Z</dcterms:created>
  <dc:creator>openpyxl</dc:creator>
  <dc:description/>
  <dc:language>en-US</dc:language>
  <cp:lastModifiedBy/>
  <dcterms:modified xsi:type="dcterms:W3CDTF">2026-07-02T00:48:43Z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